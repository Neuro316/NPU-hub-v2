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ontact DB" sheetId="1" state="visible" r:id="rId3"/>
    <sheet name="Partner Scoring" sheetId="2" state="visible" r:id="rId4"/>
    <sheet name="Outreach Tracker" sheetId="3" state="visible" r:id="rId5"/>
    <sheet name="Top 20 Priorities" sheetId="4" state="visible" r:id="rId6"/>
    <sheet name="Market &amp; Research Intel" sheetId="5" state="visible" r:id="rId7"/>
    <sheet name="Scoring Guide &amp; 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<sst xmlns="http://schemas.openxmlformats.org/spreadsheetml/2006/main" count="1746" uniqueCount="696">
  <si>
    <t xml:space="preserve">NEURO PROGENY  ·  MASTER PARTNER &amp; CONTACT DATABASE</t>
  </si>
  <si>
    <t xml:space="preserve">Unified outreach, CRM, scoring, and research intelligence — follower counts + all original fields from both source files</t>
  </si>
  <si>
    <t xml:space="preserve">IDENTITY &amp; CONTACT</t>
  </si>
  <si>
    <t xml:space="preserve">PLATFORM &amp; SOCIAL</t>
  </si>
  <si>
    <t xml:space="preserve">SOCIAL FOLLOWER COUNTS</t>
  </si>
  <si>
    <t xml:space="preserve">SCORING</t>
  </si>
  <si>
    <t xml:space="preserve">PARTNERSHIP FIT</t>
  </si>
  <si>
    <t xml:space="preserve">CRM / PIPELINE</t>
  </si>
  <si>
    <t xml:space="preserve">OUTREACH OPS</t>
  </si>
  <si>
    <t xml:space="preserve">MARKET &amp; RESEARCH INTEL</t>
  </si>
  <si>
    <t xml:space="preserve">ADMIN</t>
  </si>
  <si>
    <t xml:space="preserve">Rank</t>
  </si>
  <si>
    <t xml:space="preserve">First Name</t>
  </si>
  <si>
    <t xml:space="preserve">Last Name</t>
  </si>
  <si>
    <t xml:space="preserve">Email</t>
  </si>
  <si>
    <t xml:space="preserve">Phone</t>
  </si>
  <si>
    <t xml:space="preserve">Company / Org</t>
  </si>
  <si>
    <t xml:space="preserve">Occupation / Title</t>
  </si>
  <si>
    <t xml:space="preserve">City</t>
  </si>
  <si>
    <t xml:space="preserve">State / Country</t>
  </si>
  <si>
    <t xml:space="preserve">Primary Platform</t>
  </si>
  <si>
    <t xml:space="preserve">Handle / Profile URL</t>
  </si>
  <si>
    <t xml:space="preserve">LinkedIn URL</t>
  </si>
  <si>
    <t xml:space="preserve">Instagram</t>
  </si>
  <si>
    <t xml:space="preserve">Twitter/X</t>
  </si>
  <si>
    <t xml:space="preserve">YouTube</t>
  </si>
  <si>
    <t xml:space="preserve">TikTok</t>
  </si>
  <si>
    <t xml:space="preserve">Facebook</t>
  </si>
  <si>
    <t xml:space="preserve">Blog / Website</t>
  </si>
  <si>
    <t xml:space="preserve">Instagram
Followers</t>
  </si>
  <si>
    <t xml:space="preserve">LinkedIn
Followers</t>
  </si>
  <si>
    <t xml:space="preserve">YouTube
Subscribers</t>
  </si>
  <si>
    <t xml:space="preserve">TikTok
Followers</t>
  </si>
  <si>
    <t xml:space="preserve">Facebook
Followers</t>
  </si>
  <si>
    <t xml:space="preserve">Twitter/X
Followers</t>
  </si>
  <si>
    <t xml:space="preserve">Podcast
Listeners</t>
  </si>
  <si>
    <t xml:space="preserve">Email List
Subscribers</t>
  </si>
  <si>
    <t xml:space="preserve">Total Est.
Reach</t>
  </si>
  <si>
    <t xml:space="preserve">Alignment
(1–5)</t>
  </si>
  <si>
    <t xml:space="preserve">Commercial
Relevance (1–5)</t>
  </si>
  <si>
    <t xml:space="preserve">Outreach
Ease (1–5)</t>
  </si>
  <si>
    <t xml:space="preserve">Credibility
(1–5)</t>
  </si>
  <si>
    <t xml:space="preserve">Total Score</t>
  </si>
  <si>
    <t xml:space="preserve">Priority Tier</t>
  </si>
  <si>
    <t xml:space="preserve">Fit Category</t>
  </si>
  <si>
    <t xml:space="preserve">Primary Niche</t>
  </si>
  <si>
    <t xml:space="preserve">Audience Type</t>
  </si>
  <si>
    <t xml:space="preserve">Likely Offer Angle</t>
  </si>
  <si>
    <t xml:space="preserve">Custom Outreach Opener</t>
  </si>
  <si>
    <t xml:space="preserve">Partnership Type</t>
  </si>
  <si>
    <t xml:space="preserve">Pipeline</t>
  </si>
  <si>
    <t xml:space="preserve">Pipeline Stage</t>
  </si>
  <si>
    <t xml:space="preserve">Contact Type
(B2B/B2C)</t>
  </si>
  <si>
    <t xml:space="preserve">Population Served</t>
  </si>
  <si>
    <t xml:space="preserve">Topics of Interest</t>
  </si>
  <si>
    <t xml:space="preserve">Presentation Topics</t>
  </si>
  <si>
    <t xml:space="preserve">Publications</t>
  </si>
  <si>
    <t xml:space="preserve">Outreach Owner</t>
  </si>
  <si>
    <t xml:space="preserve">Status</t>
  </si>
  <si>
    <t xml:space="preserve">Outreach Strategy</t>
  </si>
  <si>
    <t xml:space="preserve">Last Touch</t>
  </si>
  <si>
    <t xml:space="preserve">Next Step</t>
  </si>
  <si>
    <t xml:space="preserve">Response Summary</t>
  </si>
  <si>
    <t xml:space="preserve">Follow-up Date</t>
  </si>
  <si>
    <t xml:space="preserve">Est. Audience Size</t>
  </si>
  <si>
    <t xml:space="preserve">Engagement Rate</t>
  </si>
  <si>
    <t xml:space="preserve">Content Frequency</t>
  </si>
  <si>
    <t xml:space="preserve">Content Type</t>
  </si>
  <si>
    <t xml:space="preserve">Market Segment</t>
  </si>
  <si>
    <t xml:space="preserve">Geographic Market</t>
  </si>
  <si>
    <t xml:space="preserve">Competitor Partnerships</t>
  </si>
  <si>
    <t xml:space="preserve">Market Opportunity Notes</t>
  </si>
  <si>
    <t xml:space="preserve">Source</t>
  </si>
  <si>
    <t xml:space="preserve">Tags</t>
  </si>
  <si>
    <t xml:space="preserve">AI Research Notes</t>
  </si>
  <si>
    <t xml:space="preserve">Date Added</t>
  </si>
  <si>
    <t xml:space="preserve">Jane</t>
  </si>
  <si>
    <t xml:space="preserve">Smith</t>
  </si>
  <si>
    <t xml:space="preserve">jane@example.com</t>
  </si>
  <si>
    <t xml:space="preserve">8285551234</t>
  </si>
  <si>
    <t xml:space="preserve">Brain Health Clinic</t>
  </si>
  <si>
    <t xml:space="preserve">Clinical Director</t>
  </si>
  <si>
    <t xml:space="preserve">Asheville</t>
  </si>
  <si>
    <t xml:space="preserve">NC</t>
  </si>
  <si>
    <t xml:space="preserve">LinkedIn</t>
  </si>
  <si>
    <t xml:space="preserve">https://linkedin.com/in/janesmith</t>
  </si>
  <si>
    <t xml:space="preserve">janesmith_neuro</t>
  </si>
  <si>
    <t xml:space="preserve">janesmith</t>
  </si>
  <si>
    <t xml:space="preserve">https://brainhealthclinic.com</t>
  </si>
  <si>
    <t xml:space="preserve">A Tier</t>
  </si>
  <si>
    <t xml:space="preserve">HRV / Performance</t>
  </si>
  <si>
    <t xml:space="preserve">HRV, biofeedback, and performance recovery</t>
  </si>
  <si>
    <t xml:space="preserve">Measurement-minded performance audience</t>
  </si>
  <si>
    <t xml:space="preserve">Position NP as HRV-friendly regulation &amp; recovery tool</t>
  </si>
  <si>
    <t xml:space="preserve">Hi Jane — following your work on HRV biofeedback for clinical outcomes. Building Neuro Progeny and see a strong alignment fit.</t>
  </si>
  <si>
    <t xml:space="preserve">Affiliate</t>
  </si>
  <si>
    <t xml:space="preserve">Mastermind</t>
  </si>
  <si>
    <t xml:space="preserve">Prospect</t>
  </si>
  <si>
    <t xml:space="preserve">B2B / Clinic</t>
  </si>
  <si>
    <t xml:space="preserve">Children with ADHD</t>
  </si>
  <si>
    <t xml:space="preserve">neurofeedback|brain health|biohacking</t>
  </si>
  <si>
    <t xml:space="preserve">qEEG analysis|VR therapy</t>
  </si>
  <si>
    <t xml:space="preserve">Smith et al. (2024) Journal of Neurofeedback</t>
  </si>
  <si>
    <t xml:space="preserve">Laura</t>
  </si>
  <si>
    <t xml:space="preserve">LinkedIn DM - active poster</t>
  </si>
  <si>
    <t xml:space="preserve">Schedule intro call</t>
  </si>
  <si>
    <t xml:space="preserve">~12,000</t>
  </si>
  <si>
    <t xml:space="preserve">4.2%</t>
  </si>
  <si>
    <t xml:space="preserve">Daily</t>
  </si>
  <si>
    <t xml:space="preserve">Short-form video + long-form posts</t>
  </si>
  <si>
    <t xml:space="preserve">B2B</t>
  </si>
  <si>
    <t xml:space="preserve">Southeast US</t>
  </si>
  <si>
    <t xml:space="preserve">None known</t>
  </si>
  <si>
    <t xml:space="preserve">Only provider combining VR with traditional neurofeedback — strong clinical credibility</t>
  </si>
  <si>
    <t xml:space="preserve">Conference</t>
  </si>
  <si>
    <t xml:space="preserve">neurofeedback|VR|clinic-owner</t>
  </si>
  <si>
    <t xml:space="preserve">Strong clinical background, published research, active poster. High priority.</t>
  </si>
  <si>
    <t xml:space="preserve">2026-03-11</t>
  </si>
  <si>
    <t xml:space="preserve">NEURO PROGENY – RANKED PARTNER PROSPECT LIST  (100 prospects)</t>
  </si>
  <si>
    <t xml:space="preserve">Combined sheet spanning somatics, HRV, breathwork, business performance, leadership, corporate wellness, and sales regulation.</t>
  </si>
  <si>
    <t xml:space="preserve">Name</t>
  </si>
  <si>
    <t xml:space="preserve">Handle / Profile</t>
  </si>
  <si>
    <t xml:space="preserve">Platform</t>
  </si>
  <si>
    <t xml:space="preserve">Priority
Tier</t>
  </si>
  <si>
    <t xml:space="preserve">Source URL</t>
  </si>
  <si>
    <t xml:space="preserve">Notes</t>
  </si>
  <si>
    <t xml:space="preserve">Alignment (1-5)</t>
  </si>
  <si>
    <t xml:space="preserve">Commercial Relevance (1-5)</t>
  </si>
  <si>
    <t xml:space="preserve">Outreach Ease (1-5)</t>
  </si>
  <si>
    <t xml:space="preserve">Credibility (1-5)</t>
  </si>
  <si>
    <t xml:space="preserve">Josh Braun</t>
  </si>
  <si>
    <t xml:space="preserve">LinkedIn / Josh Braun</t>
  </si>
  <si>
    <t xml:space="preserve">Sales performance under pressure</t>
  </si>
  <si>
    <t xml:space="preserve">Sales reps, account executives, and sales leaders</t>
  </si>
  <si>
    <t xml:space="preserve">Sales performance</t>
  </si>
  <si>
    <t xml:space="preserve">Position Neuro Progeny as a tool to regulate before calls, recover after stress spikes, and improve sales consistency.</t>
  </si>
  <si>
    <t xml:space="preserve">Hi Josh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</si>
  <si>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https://www.linkedin.com/posts/josh-braun_sales-can-spike-your-nervous-system-a-tough-activity-7435649441690427392-arcW</t>
  </si>
  <si>
    <t xml:space="preserve">From List 2</t>
  </si>
  <si>
    <t xml:space="preserve">Shobana Krishnamurthy</t>
  </si>
  <si>
    <t xml:space="preserve">LinkedIn / Shobana Krishnamurthy</t>
  </si>
  <si>
    <t xml:space="preserve">Hi Shobana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</si>
  <si>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https://www.linkedin.com/posts/shobana-krishnamurthy-a5036a58_businesscoaching-salesforbusinesses-activity-7423967271146004480-54aQ</t>
  </si>
  <si>
    <t xml:space="preserve">Malisa Nguyen</t>
  </si>
  <si>
    <t xml:space="preserve">LinkedIn / Malisa Nguyen</t>
  </si>
  <si>
    <t xml:space="preserve">Hi Malisa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</si>
  <si>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https://www.linkedin.com/posts/malisa-nguyen_flow-activity-7429513714338365440-vvF-</t>
  </si>
  <si>
    <t xml:space="preserve">Rochelle Carrington</t>
  </si>
  <si>
    <t xml:space="preserve">LinkedIn / Rochelle Carrington</t>
  </si>
  <si>
    <t xml:space="preserve">Hi Rochelle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</si>
  <si>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https://www.linkedin.com/posts/rochellecarrington_salesandmarketingmanagement-activity-7388947656938778624-TXJP</t>
  </si>
  <si>
    <t xml:space="preserve">Amy Leigh Looper</t>
  </si>
  <si>
    <t xml:space="preserve">LinkedIn / Amy Looper</t>
  </si>
  <si>
    <t xml:space="preserve">Leadership resilience and nervous-system regulation</t>
  </si>
  <si>
    <t xml:space="preserve">Leaders, managers, and high-performing teams</t>
  </si>
  <si>
    <t xml:space="preserve">Leadership / burnout</t>
  </si>
  <si>
    <t xml:space="preserve">Position Neuro Progeny as leadership-performance infrastructure for steadier decisions, better recovery, and less burnout.</t>
  </si>
  <si>
    <t xml:space="preserve">Hi Amy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</si>
  <si>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https://www.linkedin.com/in/amylooper1</t>
  </si>
  <si>
    <t xml:space="preserve">Arlina Allen</t>
  </si>
  <si>
    <t xml:space="preserve">LinkedIn / Arlina Allen</t>
  </si>
  <si>
    <t xml:space="preserve">Hi Arlina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</si>
  <si>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https://www.linkedin.com/in/arlinaallen</t>
  </si>
  <si>
    <t xml:space="preserve">Jennifer Cole</t>
  </si>
  <si>
    <t xml:space="preserve">LinkedIn / Jennifer Cole</t>
  </si>
  <si>
    <t xml:space="preserve">Corporate wellness and workplace resilience</t>
  </si>
  <si>
    <t xml:space="preserve">Organizations, people leaders, and employee-wellbeing buyers</t>
  </si>
  <si>
    <t xml:space="preserve">Corporate wellness</t>
  </si>
  <si>
    <t xml:space="preserve">Position Neuro Progeny as workplace performance infrastructure rather than a generic wellness perk.</t>
  </si>
  <si>
    <t xml:space="preserve">Hi Jennifer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</si>
  <si>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https://www.linkedin.com/in/jennifer-cole-89a17a359</t>
  </si>
  <si>
    <t xml:space="preserve">Margo Gladys</t>
  </si>
  <si>
    <t xml:space="preserve">LinkedIn / Margo Gladys</t>
  </si>
  <si>
    <t xml:space="preserve">Hi Margo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</si>
  <si>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https://www.linkedin.com/in/margogladys</t>
  </si>
  <si>
    <t xml:space="preserve">Cindy Canek</t>
  </si>
  <si>
    <t xml:space="preserve">LinkedIn / Cindy Canek</t>
  </si>
  <si>
    <t xml:space="preserve">Hi Cindy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</si>
  <si>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https://www.linkedin.com/in/cindy-canek-64ba0125</t>
  </si>
  <si>
    <t xml:space="preserve">Regina Longo</t>
  </si>
  <si>
    <t xml:space="preserve">LinkedIn / Regina Longo</t>
  </si>
  <si>
    <t xml:space="preserve">Hi Regina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</si>
  <si>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https://www.linkedin.com/in/regina-longo-9755138</t>
  </si>
  <si>
    <t xml:space="preserve">Isaac Ho</t>
  </si>
  <si>
    <t xml:space="preserve">LinkedIn / Isaac Ho</t>
  </si>
  <si>
    <t xml:space="preserve">Hi Isaac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</si>
  <si>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https://www.linkedin.com/in/isaac-ho-coaching</t>
  </si>
  <si>
    <t xml:space="preserve">Ashley Mikell</t>
  </si>
  <si>
    <t xml:space="preserve">LinkedIn / Ashley Mikell</t>
  </si>
  <si>
    <t xml:space="preserve">Hi Ashley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</si>
  <si>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https://www.linkedin.com/in/ashley-mikell-0a9149283</t>
  </si>
  <si>
    <t xml:space="preserve">Lauren Dike</t>
  </si>
  <si>
    <t xml:space="preserve">LinkedIn / Lauren Dike</t>
  </si>
  <si>
    <t xml:space="preserve">Hi Lauren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</si>
  <si>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https://www.linkedin.com/in/lauren-d-0404</t>
  </si>
  <si>
    <t xml:space="preserve">Beverly Pagano</t>
  </si>
  <si>
    <t xml:space="preserve">LinkedIn / Beverly Pagano</t>
  </si>
  <si>
    <t xml:space="preserve">Hi Beverly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</si>
  <si>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https://www.linkedin.com/in/coachbeverlypagano</t>
  </si>
  <si>
    <t xml:space="preserve">Jennifer Pilotti</t>
  </si>
  <si>
    <t xml:space="preserve">LinkedIn / Jennifer Pilotti</t>
  </si>
  <si>
    <t xml:space="preserve">https://www.linkedin.com/in/jennifer-pilotti</t>
  </si>
  <si>
    <t xml:space="preserve">Le' Jai' La Troi</t>
  </si>
  <si>
    <t xml:space="preserve">LinkedIn / Le' Jai' La Troi</t>
  </si>
  <si>
    <t xml:space="preserve">Hi Le' — I liked how you frame corporate wellness and workplace resilience for organizations, people leaders, and employee-wellbeing buyers. We’re building Neuro Progeny, and I think there could be a natural fit around corporate wellness for your audience or clients.</t>
  </si>
  <si>
    <t xml:space="preserve">https://www.linkedin.com/in/le-jai-la-troi</t>
  </si>
  <si>
    <t xml:space="preserve">Alex Vigilante</t>
  </si>
  <si>
    <t xml:space="preserve">LinkedIn / Alex Vigilante</t>
  </si>
  <si>
    <t xml:space="preserve">Hi Alex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</si>
  <si>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https://www.linkedin.com/in/alexvigilante</t>
  </si>
  <si>
    <t xml:space="preserve">Jeremy Rothenberg</t>
  </si>
  <si>
    <t xml:space="preserve">LinkedIn / Jeremy Rothenberg</t>
  </si>
  <si>
    <t xml:space="preserve">Hi Jeremy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</si>
  <si>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https://www.linkedin.com/in/jeremyrothenberg</t>
  </si>
  <si>
    <t xml:space="preserve">Dr. Chris Lee</t>
  </si>
  <si>
    <t xml:space="preserve">LinkedIn / Dr. Chris Lee</t>
  </si>
  <si>
    <t xml:space="preserve">Hi Chris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</si>
  <si>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https://www.linkedin.com/in/drchrislee</t>
  </si>
  <si>
    <t xml:space="preserve">Cara Delacroix</t>
  </si>
  <si>
    <t xml:space="preserve">LinkedIn / Cara Delacroix</t>
  </si>
  <si>
    <t xml:space="preserve">Hi Cara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</si>
  <si>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https://www.linkedin.com/in/cara-delacroix-9a715135</t>
  </si>
  <si>
    <t xml:space="preserve">Oxana Lopyreva</t>
  </si>
  <si>
    <t xml:space="preserve">LinkedIn / Oxana Lopyreva</t>
  </si>
  <si>
    <t xml:space="preserve">Hi Oxana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</si>
  <si>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https://www.linkedin.com/in/oksanalopyrevabeliaeva</t>
  </si>
  <si>
    <t xml:space="preserve">C.J. Smith</t>
  </si>
  <si>
    <t xml:space="preserve">LinkedIn / C.J. Smith</t>
  </si>
  <si>
    <t xml:space="preserve">Hi C.J.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</si>
  <si>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https://ca.linkedin.com/in/cjsmithca</t>
  </si>
  <si>
    <t xml:space="preserve">Jennifer Rivlin, PhD</t>
  </si>
  <si>
    <t xml:space="preserve">LinkedIn / Jennifer Rivlin</t>
  </si>
  <si>
    <t xml:space="preserve">https://www.linkedin.com/in/jennierivlinroberts</t>
  </si>
  <si>
    <t xml:space="preserve">Matt Gerlach</t>
  </si>
  <si>
    <t xml:space="preserve">LinkedIn / Matt Gerlach</t>
  </si>
  <si>
    <t xml:space="preserve">Hi Matt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</si>
  <si>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https://www.linkedin.com/in/matt-gerlach</t>
  </si>
  <si>
    <t xml:space="preserve">Carole Osterweil</t>
  </si>
  <si>
    <t xml:space="preserve">LinkedIn / Carole Osterweil</t>
  </si>
  <si>
    <t xml:space="preserve">Hi Carole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</si>
  <si>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https://uk.linkedin.com/in/caroleosterweil</t>
  </si>
  <si>
    <t xml:space="preserve">Sara K. Pelaez, PhD</t>
  </si>
  <si>
    <t xml:space="preserve">LinkedIn / Sara K. Pelaez</t>
  </si>
  <si>
    <t xml:space="preserve">Hi Sara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</si>
  <si>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https://www.linkedin.com/in/sara-k-pelaez-phd-sep-bcc-lcpc-a9a8375</t>
  </si>
  <si>
    <t xml:space="preserve">Hamid Umair Saeed</t>
  </si>
  <si>
    <t xml:space="preserve">LinkedIn / Hamid Umair Saeed</t>
  </si>
  <si>
    <t xml:space="preserve">Hi Hamid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</si>
  <si>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https://pk.linkedin.com/in/umairsaeedcoach</t>
  </si>
  <si>
    <t xml:space="preserve">Sheaba Chacko</t>
  </si>
  <si>
    <t xml:space="preserve">LinkedIn / Sheaba Chacko</t>
  </si>
  <si>
    <t xml:space="preserve">Hi Sheaba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</si>
  <si>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https://www.linkedin.com/in/sheaba-chacko-performance-expert-for-anxious-achievers</t>
  </si>
  <si>
    <t xml:space="preserve">Gabriella Mengstab</t>
  </si>
  <si>
    <t xml:space="preserve">LinkedIn / Gabriella Mengstab</t>
  </si>
  <si>
    <t xml:space="preserve">Hi Gabriella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</si>
  <si>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https://www.linkedin.com/posts/gabriella-mengstab_same-person-same-job-same-skills-6-billion-activity-7369346540621950976-Xb4w</t>
  </si>
  <si>
    <t xml:space="preserve">Mor Assouline</t>
  </si>
  <si>
    <t xml:space="preserve">LinkedIn / Mor Assouline</t>
  </si>
  <si>
    <t xml:space="preserve">Hi Mor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</si>
  <si>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https://www.linkedin.com/in/morassouline</t>
  </si>
  <si>
    <t xml:space="preserve">Brandon Clauser</t>
  </si>
  <si>
    <t xml:space="preserve">LinkedIn / Brandon Clauser</t>
  </si>
  <si>
    <t xml:space="preserve">Hi Brandon — I liked how you frame sales performance under pressure for sales reps, account executives, and sales leaders. We’re building Neuro Progeny, and I think there could be a natural fit around sales performance for your audience or clients.</t>
  </si>
  <si>
    <t xml:space="preserve">https://www.linkedin.com/videos/brandonclauser_the-silent-killer-of-sales-success-and-happiness-activity-7282421992601886723-Vdlm</t>
  </si>
  <si>
    <t xml:space="preserve">Larry Decker</t>
  </si>
  <si>
    <t xml:space="preserve">LinkedIn / Larry Decker</t>
  </si>
  <si>
    <t xml:space="preserve">Hi Larry — I liked how you frame leadership resilience and nervous-system regulation for leaders, managers, and high-performing teams. We’re building Neuro Progeny, and I think there could be a natural fit around leadership / burnout for your audience or clients.</t>
  </si>
  <si>
    <t xml:space="preserve">https://www.linkedin.com/in/larry-decker-43a0082a</t>
  </si>
  <si>
    <t xml:space="preserve">Rachel Lynn Medlen</t>
  </si>
  <si>
    <t xml:space="preserve">Instagram / Rachel Lynn Medlen</t>
  </si>
  <si>
    <t xml:space="preserve">Hi Rachel — I’ve been following how you talk about sales performance under pressure for sales reps, account executives, and sales leaders. We’re building Neuro Progeny, and I think there could be a natural partner fit around sales performance for your audience.</t>
  </si>
  <si>
    <t xml:space="preserve">https://www.instagram.com/p/DU6jKm3kisy/</t>
  </si>
  <si>
    <t xml:space="preserve">Sheridan Ruth</t>
  </si>
  <si>
    <t xml:space="preserve">@_sheridanruth_</t>
  </si>
  <si>
    <t xml:space="preserve">Hi Sheridan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</si>
  <si>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https://www.instagram.com/_sheridanruth_/</t>
  </si>
  <si>
    <t xml:space="preserve">Kinnari Patel</t>
  </si>
  <si>
    <t xml:space="preserve">@iamkinnaripatel</t>
  </si>
  <si>
    <t xml:space="preserve">Hi Kinnari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</si>
  <si>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https://www.instagram.com/iamkinnaripatel/</t>
  </si>
  <si>
    <t xml:space="preserve">Kendall Hitch</t>
  </si>
  <si>
    <t xml:space="preserve">@kendall_hitch</t>
  </si>
  <si>
    <t xml:space="preserve">Hi Kendall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</si>
  <si>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https://www.instagram.com/kendall_hitch/</t>
  </si>
  <si>
    <t xml:space="preserve">Cait Murphy</t>
  </si>
  <si>
    <t xml:space="preserve">@caitmurphy.co</t>
  </si>
  <si>
    <t xml:space="preserve">Hi Cait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</si>
  <si>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https://www.instagram.com/caitmurphy.co/</t>
  </si>
  <si>
    <t xml:space="preserve">Conor's Wellness Path</t>
  </si>
  <si>
    <t xml:space="preserve">@conorswellnesspath</t>
  </si>
  <si>
    <t xml:space="preserve">Hi Conor's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</si>
  <si>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https://www.instagram.com/conorswellnesspath/</t>
  </si>
  <si>
    <t xml:space="preserve">Shawnta Speaks</t>
  </si>
  <si>
    <t xml:space="preserve">@shawnta.speaks</t>
  </si>
  <si>
    <t xml:space="preserve">Hi Shawnta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</si>
  <si>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https://www.instagram.com/shawnta.speaks/</t>
  </si>
  <si>
    <t xml:space="preserve">Christina Olivarez</t>
  </si>
  <si>
    <t xml:space="preserve">Instagram / Christina Olivarez</t>
  </si>
  <si>
    <t xml:space="preserve">Hi Christina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</si>
  <si>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https://www.instagram.com/reel/DUHA4d_kqwE/</t>
  </si>
  <si>
    <t xml:space="preserve">Rachel Barbaro</t>
  </si>
  <si>
    <t xml:space="preserve">Instagram / Rachel Barbaro</t>
  </si>
  <si>
    <t xml:space="preserve">Hi Rachel — I’ve been following how you talk about leadership resilience and nervous-system regulation for leaders, managers, and high-performing teams. We’re building Neuro Progeny, and I think there could be a natural partner fit around leadership / burnout for your audience.</t>
  </si>
  <si>
    <t xml:space="preserve">https://www.instagram.com/p/DVeaOeWkVew/</t>
  </si>
  <si>
    <t xml:space="preserve">Dr. Jay Wiles</t>
  </si>
  <si>
    <t xml:space="preserve">@drjaywiles</t>
  </si>
  <si>
    <t xml:space="preserve">Measurement-minded performance and resilience audience</t>
  </si>
  <si>
    <t xml:space="preserve">HRV / performance</t>
  </si>
  <si>
    <t xml:space="preserve">Position Neuro Progeny as an HRV-friendly regulation and recovery tool with a measurable performance angle.</t>
  </si>
  <si>
    <t xml:space="preserve">Hi Jay — I’ve been following how you talk about hrv, biofeedback, and performance recovery for measurement-minded performance and resilience audience. We’re building Neuro Progeny, and I think there could be a natural partner fit around hrv / performance for your audience.</t>
  </si>
  <si>
    <t xml:space="preserve">https://www.instagram.com/drjaywiles/</t>
  </si>
  <si>
    <t xml:space="preserve">From List 1</t>
  </si>
  <si>
    <t xml:space="preserve">Jessica Corbin</t>
  </si>
  <si>
    <t xml:space="preserve">@iamjessicacorbin</t>
  </si>
  <si>
    <t xml:space="preserve">Hi Jessica — I’ve been following how you talk about hrv, biofeedback, and performance recovery for measurement-minded performance and resilience audience. We’re building Neuro Progeny, and I think there could be a natural partner fit around hrv / performance for your audience.</t>
  </si>
  <si>
    <t xml:space="preserve">https://www.instagram.com/iamjessicacorbin/</t>
  </si>
  <si>
    <t xml:space="preserve">Justin Ternes</t>
  </si>
  <si>
    <t xml:space="preserve">@trueselfhealth</t>
  </si>
  <si>
    <t xml:space="preserve">Hi Justin — I’ve been following how you talk about hrv, biofeedback, and performance recovery for measurement-minded performance and resilience audience. We’re building Neuro Progeny, and I think there could be a natural partner fit around hrv / performance for your audience.</t>
  </si>
  <si>
    <t xml:space="preserve">https://www.instagram.com/trueselfhealth/</t>
  </si>
  <si>
    <t xml:space="preserve">Xico Teixeira</t>
  </si>
  <si>
    <t xml:space="preserve">@xico_teixeira</t>
  </si>
  <si>
    <t xml:space="preserve">Hi Xico — I’ve been following how you talk about hrv, biofeedback, and performance recovery for measurement-minded performance and resilience audience. We’re building Neuro Progeny, and I think there could be a natural partner fit around hrv / performance for your audience.</t>
  </si>
  <si>
    <t xml:space="preserve">https://www.instagram.com/xico_teixeira/</t>
  </si>
  <si>
    <t xml:space="preserve">Rita Ainsworth</t>
  </si>
  <si>
    <t xml:space="preserve">LinkedIn / Rita Ainsworth</t>
  </si>
  <si>
    <t xml:space="preserve">Marketing / performance work with nervous-system awareness</t>
  </si>
  <si>
    <t xml:space="preserve">Marketers, operators, and client-service professionals</t>
  </si>
  <si>
    <t xml:space="preserve">Business performance</t>
  </si>
  <si>
    <t xml:space="preserve">Position Neuro Progeny as a tool for clearer decision-making, calmer client interactions, and sustainable output.</t>
  </si>
  <si>
    <t xml:space="preserve">Hi Rita — I liked how you frame marketing / performance work with nervous-system awareness for marketers, operators, and client-service professionals. We’re building Neuro Progeny, and I think there could be a natural fit around business performance for your audience or clients.</t>
  </si>
  <si>
    <t xml:space="preserve">https://www.linkedin.com/posts/rita-ainsworth_i-spent-a-decade-in-performance-marketing-activity-7431703289043451904-aucG</t>
  </si>
  <si>
    <t xml:space="preserve">Laura Niese</t>
  </si>
  <si>
    <t xml:space="preserve">LinkedIn / Laura Niese</t>
  </si>
  <si>
    <t xml:space="preserve">Nervous-system-based business / executive performance</t>
  </si>
  <si>
    <t xml:space="preserve">Founders, executives, and high performers</t>
  </si>
  <si>
    <t xml:space="preserve">Position Neuro Progeny as a capacity-building and recovery tool for ambitious professionals who want performance without burnout.</t>
  </si>
  <si>
    <t xml:space="preserve">Hi Laura — I liked how you frame nervous-system-based business / executive performance for founders, executives, and high performers. We’re building Neuro Progeny, and I think there could be a natural fit around business performance for your audience or clients.</t>
  </si>
  <si>
    <t xml:space="preserve">https://id.linkedin.com/in/entrepreneur-coach-sales-marketing-branding</t>
  </si>
  <si>
    <t xml:space="preserve">Aileen Lane</t>
  </si>
  <si>
    <t xml:space="preserve">LinkedIn / Aileen Lane</t>
  </si>
  <si>
    <t xml:space="preserve">Hi Aileen — I liked how you frame nervous-system-based business / executive performance for founders, executives, and high performers. We’re building Neuro Progeny, and I think there could be a natural fit around business performance for your audience or clients.</t>
  </si>
  <si>
    <t xml:space="preserve">https://www.linkedin.com/in/aileen-lane</t>
  </si>
  <si>
    <t xml:space="preserve">Emily Judice</t>
  </si>
  <si>
    <t xml:space="preserve">@thatgirlemilyjudice</t>
  </si>
  <si>
    <t xml:space="preserve">Hi Emily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</si>
  <si>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https://www.instagram.com/thatgirlemilyjudice/</t>
  </si>
  <si>
    <t xml:space="preserve">Masha</t>
  </si>
  <si>
    <t xml:space="preserve">@mashakay</t>
  </si>
  <si>
    <t xml:space="preserve">Hi Masha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</si>
  <si>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https://www.instagram.com/mashakay/</t>
  </si>
  <si>
    <t xml:space="preserve">Steph Ellen</t>
  </si>
  <si>
    <t xml:space="preserve">@findingflowstate</t>
  </si>
  <si>
    <t xml:space="preserve">Hi Steph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</si>
  <si>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https://www.instagram.com/findingflowstate/</t>
  </si>
  <si>
    <t xml:space="preserve">Kat Cynewski</t>
  </si>
  <si>
    <t xml:space="preserve">@katcynewski</t>
  </si>
  <si>
    <t xml:space="preserve">Hi Kat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</si>
  <si>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https://www.instagram.com/katcynewski/</t>
  </si>
  <si>
    <t xml:space="preserve">Michelle Grosser</t>
  </si>
  <si>
    <t xml:space="preserve">@itsmichellegrosser</t>
  </si>
  <si>
    <t xml:space="preserve">Hi Michelle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</si>
  <si>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https://www.instagram.com/itsmichellegrosser/</t>
  </si>
  <si>
    <t xml:space="preserve">Sam (Somatically Sam)</t>
  </si>
  <si>
    <t xml:space="preserve">@somaticallysam</t>
  </si>
  <si>
    <t xml:space="preserve">Hi Sam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</si>
  <si>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https://www.instagram.com/somaticallysam/</t>
  </si>
  <si>
    <t xml:space="preserve">Thibo David</t>
  </si>
  <si>
    <t xml:space="preserve">@thibo_david</t>
  </si>
  <si>
    <t xml:space="preserve">Hi Thibo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</si>
  <si>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https://www.instagram.com/thibo_david/</t>
  </si>
  <si>
    <t xml:space="preserve">Drew</t>
  </si>
  <si>
    <t xml:space="preserve">@primal_drew</t>
  </si>
  <si>
    <t xml:space="preserve">Hi Drew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</si>
  <si>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https://www.instagram.com/primal_drew/</t>
  </si>
  <si>
    <t xml:space="preserve">Briana Bowley</t>
  </si>
  <si>
    <t xml:space="preserve">@brianabowley</t>
  </si>
  <si>
    <t xml:space="preserve">Hi Briana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</si>
  <si>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https://www.instagram.com/brianabowley/</t>
  </si>
  <si>
    <t xml:space="preserve">Brandi Mackenzie</t>
  </si>
  <si>
    <t xml:space="preserve">Instagram / Brandi Mackenzie</t>
  </si>
  <si>
    <t xml:space="preserve">Hi Brandi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</si>
  <si>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https://www.instagram.com/p/DVhPBXcDiWr/</t>
  </si>
  <si>
    <t xml:space="preserve">Giovana Bier</t>
  </si>
  <si>
    <t xml:space="preserve">@gigibier</t>
  </si>
  <si>
    <t xml:space="preserve">Hi Giovana — I’ve been following how you talk about nervous-system-based business / executive performance for founders, executives, and high performers. We’re building Neuro Progeny, and I think there could be a natural partner fit around business performance for your audience.</t>
  </si>
  <si>
    <t xml:space="preserve">https://www.instagram.com/gigibier/</t>
  </si>
  <si>
    <t xml:space="preserve">Carrie Rigoni</t>
  </si>
  <si>
    <t xml:space="preserve">@drcarrierigoni</t>
  </si>
  <si>
    <t xml:space="preserve">Vagus nerve and regulation education</t>
  </si>
  <si>
    <t xml:space="preserve">Functional health and vagus-nerve-curious audiences</t>
  </si>
  <si>
    <t xml:space="preserve">Vagus / regulation</t>
  </si>
  <si>
    <t xml:space="preserve">Position Neuro Progeny as a science-forward regulation companion for followers interested in vagus support.</t>
  </si>
  <si>
    <t xml:space="preserve">Hi Carrie — I’ve been following how you talk about vagus nerve and regulation education for functional health and vagus-nerve-curious audiences. We’re building Neuro Progeny, and I think there could be a natural partner fit around vagus / regulation for your audience.</t>
  </si>
  <si>
    <t xml:space="preserve">https://www.instagram.com/drcarrierigoni/</t>
  </si>
  <si>
    <t xml:space="preserve">Navaz Habib</t>
  </si>
  <si>
    <t xml:space="preserve">@drnavazhabib</t>
  </si>
  <si>
    <t xml:space="preserve">Hi Navaz — I’ve been following how you talk about vagus nerve and regulation education for functional health and vagus-nerve-curious audiences. We’re building Neuro Progeny, and I think there could be a natural partner fit around vagus / regulation for your audience.</t>
  </si>
  <si>
    <t xml:space="preserve">https://www.instagram.com/drnavazhabib/</t>
  </si>
  <si>
    <t xml:space="preserve">Justin Sunseri</t>
  </si>
  <si>
    <t xml:space="preserve">@justinlmft</t>
  </si>
  <si>
    <t xml:space="preserve">Polyvagal / trauma-informed nervous system education</t>
  </si>
  <si>
    <t xml:space="preserve">Polyvagal, therapy-adjacent, and trauma-informed audiences</t>
  </si>
  <si>
    <t xml:space="preserve">Nervous system education</t>
  </si>
  <si>
    <t xml:space="preserve">Position Neuro Progeny as a practical bridge from nervous-system education into daily regulation practice.</t>
  </si>
  <si>
    <t xml:space="preserve">Hi Justin — I’ve been following how you talk about polyvagal / trauma-informed nervous system education for polyvagal, therapy-adjacent, and trauma-informed audiences. We’re building Neuro Progeny, and I think there could be a natural partner fit around nervous system education for your audience.</t>
  </si>
  <si>
    <t xml:space="preserve">https://www.instagram.com/justinlmft/</t>
  </si>
  <si>
    <t xml:space="preserve">Melissa Corkum</t>
  </si>
  <si>
    <t xml:space="preserve">@melissacorkum_</t>
  </si>
  <si>
    <t xml:space="preserve">Hi Melissa — I’ve been following how you talk about polyvagal / trauma-informed nervous system education for polyvagal, therapy-adjacent, and trauma-informed audiences. We’re building Neuro Progeny, and I think there could be a natural partner fit around nervous system education for your audience.</t>
  </si>
  <si>
    <t xml:space="preserve">https://www.instagram.com/melissacorkum_/</t>
  </si>
  <si>
    <t xml:space="preserve">Amber Gray</t>
  </si>
  <si>
    <t xml:space="preserve">@restorativeresources</t>
  </si>
  <si>
    <t xml:space="preserve">Hi Amber — I’ve been following how you talk about polyvagal / trauma-informed nervous system education for polyvagal, therapy-adjacent, and trauma-informed audiences. We’re building Neuro Progeny, and I think there could be a natural partner fit around nervous system education for your audience.</t>
  </si>
  <si>
    <t xml:space="preserve">https://www.instagram.com/restorativeresources/</t>
  </si>
  <si>
    <t xml:space="preserve">Katherine Sanders</t>
  </si>
  <si>
    <t xml:space="preserve">@adhd_coach_katherine</t>
  </si>
  <si>
    <t xml:space="preserve">ADHD and overwhelm support through regulation</t>
  </si>
  <si>
    <t xml:space="preserve">ADHD and neurodivergent adults</t>
  </si>
  <si>
    <t xml:space="preserve">ADHD / regulation</t>
  </si>
  <si>
    <t xml:space="preserve">Position Neuro Progeny as a low-friction nervous-system support tool for focus, overwhelm, and steadier energy.</t>
  </si>
  <si>
    <t xml:space="preserve">Hi Katherine — I’ve been following how you talk about adhd and overwhelm support through regulation for adhd and neurodivergent adults. We’re building Neuro Progeny, and I think there could be a natural partner fit around adhd / regulation for your audience.</t>
  </si>
  <si>
    <t xml:space="preserve">https://www.instagram.com/adhd_coach_katherine/</t>
  </si>
  <si>
    <t xml:space="preserve">Kate Moryoussef</t>
  </si>
  <si>
    <t xml:space="preserve">@kate_moryoussef</t>
  </si>
  <si>
    <t xml:space="preserve">Hi Kate — I’ve been following how you talk about adhd and overwhelm support through regulation for adhd and neurodivergent adults. We’re building Neuro Progeny, and I think there could be a natural partner fit around adhd / regulation for your audience.</t>
  </si>
  <si>
    <t xml:space="preserve">https://www.instagram.com/kate_moryoussef/</t>
  </si>
  <si>
    <t xml:space="preserve">Sam Bramwell</t>
  </si>
  <si>
    <t xml:space="preserve">@samjbramwell</t>
  </si>
  <si>
    <t xml:space="preserve">Hi Sam — I’ve been following how you talk about adhd and overwhelm support through regulation for adhd and neurodivergent adults. We’re building Neuro Progeny, and I think there could be a natural partner fit around adhd / regulation for your audience.</t>
  </si>
  <si>
    <t xml:space="preserve">https://www.instagram.com/samjbramwell/</t>
  </si>
  <si>
    <t xml:space="preserve">Risa Ramirez Wright</t>
  </si>
  <si>
    <t xml:space="preserve">@risaramirezwrightcoaching</t>
  </si>
  <si>
    <t xml:space="preserve">Hi Risa — I’ve been following how you talk about adhd and overwhelm support through regulation for adhd and neurodivergent adults. We’re building Neuro Progeny, and I think there could be a natural partner fit around adhd / regulation for your audience.</t>
  </si>
  <si>
    <t xml:space="preserve">https://www.instagram.com/risaramirezwrightcoaching/</t>
  </si>
  <si>
    <t xml:space="preserve">Bianca Faricy</t>
  </si>
  <si>
    <t xml:space="preserve">@biancafaricyadhd</t>
  </si>
  <si>
    <t xml:space="preserve">Hi Bianca — I’ve been following how you talk about adhd and overwhelm support through regulation for adhd and neurodivergent adults. We’re building Neuro Progeny, and I think there could be a natural partner fit around adhd / regulation for your audience.</t>
  </si>
  <si>
    <t xml:space="preserve">https://www.instagram.com/biancafaricyadhd/</t>
  </si>
  <si>
    <t xml:space="preserve">Alyssa</t>
  </si>
  <si>
    <t xml:space="preserve">@thriveandshinewithalyssa</t>
  </si>
  <si>
    <t xml:space="preserve">Parenting and co-regulation support</t>
  </si>
  <si>
    <t xml:space="preserve">Parents, especially moms under chronic stress load</t>
  </si>
  <si>
    <t xml:space="preserve">Parenting / regulation</t>
  </si>
  <si>
    <t xml:space="preserve">Position Neuro Progeny as a regulation tool for parents who need more capacity and steadiness in daily life.</t>
  </si>
  <si>
    <t xml:space="preserve">Hi Alyssa — I’ve been following how you talk about parenting and co-regulation support for parents, especially moms under chronic stress load. We’re building Neuro Progeny, and I think there could be a natural partner fit around parenting / regulation for your audience.</t>
  </si>
  <si>
    <t xml:space="preserve">https://www.instagram.com/thriveandshinewithalyssa/</t>
  </si>
  <si>
    <t xml:space="preserve">Vivian Meraki</t>
  </si>
  <si>
    <t xml:space="preserve">@vivianmeraki</t>
  </si>
  <si>
    <t xml:space="preserve">Hi Vivian — I’ve been following how you talk about parenting and co-regulation support for parents, especially moms under chronic stress load. We’re building Neuro Progeny, and I think there could be a natural partner fit around parenting / regulation for your audience.</t>
  </si>
  <si>
    <t xml:space="preserve">https://www.instagram.com/vivianmeraki/</t>
  </si>
  <si>
    <t xml:space="preserve">Kathy Taylor</t>
  </si>
  <si>
    <t xml:space="preserve">LinkedIn / Kathy Taylor</t>
  </si>
  <si>
    <t xml:space="preserve">Women’s wellbeing, burnout, and emotional load</t>
  </si>
  <si>
    <t xml:space="preserve">Women managing work, family, and chronic stress</t>
  </si>
  <si>
    <t xml:space="preserve">Women’s wellbeing</t>
  </si>
  <si>
    <t xml:space="preserve">Position Neuro Progeny as gentle daily support for energy, steadiness, and nervous-system capacity.</t>
  </si>
  <si>
    <t xml:space="preserve">Hi Kathy — I liked how you frame women’s wellbeing, burnout, and emotional load for women managing work, family, and chronic stress. We’re building Neuro Progeny, and I think there could be a natural fit around women’s wellbeing for your audience or clients.</t>
  </si>
  <si>
    <t xml:space="preserve">https://www.linkedin.com/in/kathytaylorherdwise</t>
  </si>
  <si>
    <t xml:space="preserve">Mitch Webb</t>
  </si>
  <si>
    <t xml:space="preserve">LinkedIn / Mitch Webb</t>
  </si>
  <si>
    <t xml:space="preserve">Somatic and nervous system coaching</t>
  </si>
  <si>
    <t xml:space="preserve">Somatic healing and personal-growth audience</t>
  </si>
  <si>
    <t xml:space="preserve">Nervous system regulation</t>
  </si>
  <si>
    <t xml:space="preserve">Position Neuro Progeny as a practical self-regulation tool that complements body-based healing and coaching.</t>
  </si>
  <si>
    <t xml:space="preserve">Hi Mitch — I liked how you frame somatic and nervous system coaching for somatic healing and personal-growth audience. We’re building Neuro Progeny, and I think there could be a natural fit around nervous system regulation for your audience or clients.</t>
  </si>
  <si>
    <t xml:space="preserve">https://www.linkedin.com/in/kmitchwebb</t>
  </si>
  <si>
    <t xml:space="preserve">Karen Ann Canham</t>
  </si>
  <si>
    <t xml:space="preserve">@karenann_wellness</t>
  </si>
  <si>
    <t xml:space="preserve">Hi Karen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</si>
  <si>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https://www.instagram.com/karenann_wellness/</t>
  </si>
  <si>
    <t xml:space="preserve">Laura Claire Simpson</t>
  </si>
  <si>
    <t xml:space="preserve">@lauraclairesimpson</t>
  </si>
  <si>
    <t xml:space="preserve">Hi Laura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</si>
  <si>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https://www.instagram.com/lauraclairesimpson/</t>
  </si>
  <si>
    <t xml:space="preserve">Rachel Bednarski</t>
  </si>
  <si>
    <t xml:space="preserve">@rachelbednarski_</t>
  </si>
  <si>
    <t xml:space="preserve">Hi Rachel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</si>
  <si>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https://www.instagram.com/rachelbednarski_/</t>
  </si>
  <si>
    <t xml:space="preserve">Becca Nicholls</t>
  </si>
  <si>
    <t xml:space="preserve">@beccnicholls</t>
  </si>
  <si>
    <t xml:space="preserve">Hi Becca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</si>
  <si>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https://www.instagram.com/beccnicholls/</t>
  </si>
  <si>
    <t xml:space="preserve">Nikki Kruchen</t>
  </si>
  <si>
    <t xml:space="preserve">@nikkikruchen</t>
  </si>
  <si>
    <t xml:space="preserve">Hi Nikki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</si>
  <si>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https://www.instagram.com/nikkikruchen/</t>
  </si>
  <si>
    <t xml:space="preserve">Fleur Chambers</t>
  </si>
  <si>
    <t xml:space="preserve">@thehappyhabitwithfleurchambers</t>
  </si>
  <si>
    <t xml:space="preserve">Hi Fleur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</si>
  <si>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https://www.instagram.com/thehappyhabitwithfleurchambers/</t>
  </si>
  <si>
    <t xml:space="preserve">Sylvia Tarchalska</t>
  </si>
  <si>
    <t xml:space="preserve">@justbewhole</t>
  </si>
  <si>
    <t xml:space="preserve">Hi Sylvia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</si>
  <si>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https://www.instagram.com/justbewhole/</t>
  </si>
  <si>
    <t xml:space="preserve">Jennie Tian</t>
  </si>
  <si>
    <t xml:space="preserve">@bodyworkscoaching</t>
  </si>
  <si>
    <t xml:space="preserve">Hi Jennie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</si>
  <si>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https://www.instagram.com/bodyworkscoaching/</t>
  </si>
  <si>
    <t xml:space="preserve">Will Rezin</t>
  </si>
  <si>
    <t xml:space="preserve">@willrezin</t>
  </si>
  <si>
    <t xml:space="preserve">Hi Will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</si>
  <si>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https://www.instagram.com/willrezin/</t>
  </si>
  <si>
    <t xml:space="preserve">Felix Wittmann</t>
  </si>
  <si>
    <t xml:space="preserve">@felix_wittmann_</t>
  </si>
  <si>
    <t xml:space="preserve">Hi Felix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</si>
  <si>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https://www.instagram.com/felix_wittmann_/</t>
  </si>
  <si>
    <t xml:space="preserve">Leah Davidson</t>
  </si>
  <si>
    <t xml:space="preserve">@leahdavidsonlifecoaching</t>
  </si>
  <si>
    <t xml:space="preserve">Hi Leah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</si>
  <si>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https://www.instagram.com/leahdavidsonlifecoaching/</t>
  </si>
  <si>
    <t xml:space="preserve">Olga Borys</t>
  </si>
  <si>
    <t xml:space="preserve">@spiritual_bish</t>
  </si>
  <si>
    <t xml:space="preserve">Hi Olga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</si>
  <si>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https://www.instagram.com/spiritual_bish/</t>
  </si>
  <si>
    <t xml:space="preserve">Steph Veltman</t>
  </si>
  <si>
    <t xml:space="preserve">@stephveltman</t>
  </si>
  <si>
    <t xml:space="preserve">Hi Steph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</si>
  <si>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https://www.instagram.com/stephveltman/</t>
  </si>
  <si>
    <t xml:space="preserve">Shanetta McDonald</t>
  </si>
  <si>
    <t xml:space="preserve">@iamshanettamcdonald</t>
  </si>
  <si>
    <t xml:space="preserve">Hi Shanetta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</si>
  <si>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https://www.instagram.com/iamshanettamcdonald/</t>
  </si>
  <si>
    <t xml:space="preserve">Vevian Vozmediano</t>
  </si>
  <si>
    <t xml:space="preserve">@vevianvoz</t>
  </si>
  <si>
    <t xml:space="preserve">Hi Vevian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</si>
  <si>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https://www.instagram.com/vevianvoz/</t>
  </si>
  <si>
    <t xml:space="preserve">Hannah Rzysko</t>
  </si>
  <si>
    <t xml:space="preserve">@this_is_hannah_r</t>
  </si>
  <si>
    <t xml:space="preserve">Hi Hannah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</si>
  <si>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https://www.instagram.com/this_is_hannah_r/</t>
  </si>
  <si>
    <t xml:space="preserve">Sophie Roe</t>
  </si>
  <si>
    <t xml:space="preserve">@traumarecoverywithsophie</t>
  </si>
  <si>
    <t xml:space="preserve">Hi Sophie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</si>
  <si>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https://www.instagram.com/traumarecoverywithsophie/</t>
  </si>
  <si>
    <t xml:space="preserve">Alina Nechaieva</t>
  </si>
  <si>
    <t xml:space="preserve">@alina_nechaieva</t>
  </si>
  <si>
    <t xml:space="preserve">Hi Alina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</si>
  <si>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https://www.instagram.com/alina_nechaieva/</t>
  </si>
  <si>
    <t xml:space="preserve">Rachael Johanna</t>
  </si>
  <si>
    <t xml:space="preserve">@rachaeljohanna_</t>
  </si>
  <si>
    <t xml:space="preserve">Hi Rachael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</si>
  <si>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https://www.instagram.com/rachaeljohanna_/</t>
  </si>
  <si>
    <t xml:space="preserve">Jesse Coomer</t>
  </si>
  <si>
    <t xml:space="preserve">@jessecoomerbreath</t>
  </si>
  <si>
    <t xml:space="preserve">Breathwork, resilience, and stress adaptation</t>
  </si>
  <si>
    <t xml:space="preserve">Breathwork, resilience, and recovery audience</t>
  </si>
  <si>
    <t xml:space="preserve">Breath / recovery</t>
  </si>
  <si>
    <t xml:space="preserve">Position Neuro Progeny as a daily regulation companion that deepens breathwork and recovery habits.</t>
  </si>
  <si>
    <t xml:space="preserve">Hi Jesse — I’ve been following how you talk about breathwork, resilience, and stress adaptation for breathwork, resilience, and recovery audience. We’re building Neuro Progeny, and I think there could be a natural partner fit around breath / recovery for your audience.</t>
  </si>
  <si>
    <t xml:space="preserve">https://www.instagram.com/jessecoomerbreath/</t>
  </si>
  <si>
    <t xml:space="preserve">Dean Gladstone</t>
  </si>
  <si>
    <t xml:space="preserve">@deanogladstone</t>
  </si>
  <si>
    <t xml:space="preserve">Hi Dean — I’ve been following how you talk about breathwork, resilience, and stress adaptation for breathwork, resilience, and recovery audience. We’re building Neuro Progeny, and I think there could be a natural partner fit around breath / recovery for your audience.</t>
  </si>
  <si>
    <t xml:space="preserve">https://www.instagram.com/deanogladstone/</t>
  </si>
  <si>
    <t xml:space="preserve">Tim van der Vliet</t>
  </si>
  <si>
    <t xml:space="preserve">@tim_vandervliet</t>
  </si>
  <si>
    <t xml:space="preserve">Hi Tim — I’ve been following how you talk about breathwork, resilience, and stress adaptation for breathwork, resilience, and recovery audience. We’re building Neuro Progeny, and I think there could be a natural partner fit around breath / recovery for your audience.</t>
  </si>
  <si>
    <t xml:space="preserve">https://www.instagram.com/tim_vandervliet/</t>
  </si>
  <si>
    <t xml:space="preserve">Miles Lukas</t>
  </si>
  <si>
    <t xml:space="preserve">@mileslukas</t>
  </si>
  <si>
    <t xml:space="preserve">Hi Miles — I’ve been following how you talk about breathwork, resilience, and stress adaptation for breathwork, resilience, and recovery audience. We’re building Neuro Progeny, and I think there could be a natural partner fit around breath / recovery for your audience.</t>
  </si>
  <si>
    <t xml:space="preserve">https://www.instagram.com/mileslukas/</t>
  </si>
  <si>
    <t xml:space="preserve">Vali Triago</t>
  </si>
  <si>
    <t xml:space="preserve">@valitriago</t>
  </si>
  <si>
    <t xml:space="preserve">Hi Vali — I’ve been following how you talk about somatic and nervous system coaching for somatic healing and personal-growth audience. We’re building Neuro Progeny, and I think there could be a natural partner fit around nervous system regulation for your audience.</t>
  </si>
  <si>
    <t xml:space="preserve">https://www.instagram.com/valitriago/</t>
  </si>
  <si>
    <t xml:space="preserve">Thomas Hague</t>
  </si>
  <si>
    <t xml:space="preserve">@thebreathcoachuk</t>
  </si>
  <si>
    <t xml:space="preserve">Hi Thomas — I’ve been following how you talk about breathwork, resilience, and stress adaptation for breathwork, resilience, and recovery audience. We’re building Neuro Progeny, and I think there could be a natural partner fit around breath / recovery for your audience.</t>
  </si>
  <si>
    <t xml:space="preserve">https://www.instagram.com/thebreathcoachuk/</t>
  </si>
  <si>
    <t xml:space="preserve">Phoebe Greenacre</t>
  </si>
  <si>
    <t xml:space="preserve">@phoebegreenacre</t>
  </si>
  <si>
    <t xml:space="preserve">Hi Phoebe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</si>
  <si>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https://www.instagram.com/phoebegreenacre/</t>
  </si>
  <si>
    <t xml:space="preserve">Dr. Megan Daley</t>
  </si>
  <si>
    <t xml:space="preserve">@drmegandaley</t>
  </si>
  <si>
    <t xml:space="preserve">Hi Megan — I’ve been following how you talk about women’s wellbeing, burnout, and emotional load for women managing work, family, and chronic stress. We’re building Neuro Progeny, and I think there could be a natural partner fit around women’s wellbeing for your audience.</t>
  </si>
  <si>
    <t xml:space="preserve">https://www.instagram.com/drmegandaley/</t>
  </si>
  <si>
    <t xml:space="preserve">OUTREACH TRACKER — Active Campaign Log</t>
  </si>
  <si>
    <t xml:space="preserve">Outreach
Owner</t>
  </si>
  <si>
    <t xml:space="preserve">Outreach
Strategy</t>
  </si>
  <si>
    <t xml:space="preserve">Last Touch
(Date)</t>
  </si>
  <si>
    <t xml:space="preserve">Response
Summary</t>
  </si>
  <si>
    <t xml:space="preserve">Follow-up
Date</t>
  </si>
  <si>
    <t xml:space="preserve">Partnership
Type</t>
  </si>
  <si>
    <t xml:space="preserve">STATUS LEGEND</t>
  </si>
  <si>
    <t xml:space="preserve">Contacted</t>
  </si>
  <si>
    <t xml:space="preserve">Responded</t>
  </si>
  <si>
    <t xml:space="preserve">In Negotiation</t>
  </si>
  <si>
    <t xml:space="preserve">Active Partner</t>
  </si>
  <si>
    <t xml:space="preserve">Declined</t>
  </si>
  <si>
    <t xml:space="preserve">On Hold</t>
  </si>
  <si>
    <t xml:space="preserve">TOP 20 PARTNER PRIORITIES — High-Value Outreach Targets</t>
  </si>
  <si>
    <t xml:space="preserve">C</t>
  </si>
  <si>
    <t xml:space="preserve">A</t>
  </si>
  <si>
    <t xml:space="preserve">MARKET &amp; RESEARCH INTELLIGENCE — Competitive, Segment &amp; Opportunity Tracking</t>
  </si>
  <si>
    <t xml:space="preserve">Est. Audience
Size</t>
  </si>
  <si>
    <t xml:space="preserve">Engagement
Rate (%)</t>
  </si>
  <si>
    <t xml:space="preserve">Content
Frequency</t>
  </si>
  <si>
    <t xml:space="preserve">Content
Type</t>
  </si>
  <si>
    <t xml:space="preserve">Market
Segment</t>
  </si>
  <si>
    <t xml:space="preserve">Geographic
Market</t>
  </si>
  <si>
    <t xml:space="preserve">Competitor
Partnerships</t>
  </si>
  <si>
    <t xml:space="preserve">Revenue
Potential</t>
  </si>
  <si>
    <t xml:space="preserve">NPU / Sensorium
Fit</t>
  </si>
  <si>
    <t xml:space="preserve">SCORING GUIDE &amp; FIELD REFERENCE</t>
  </si>
  <si>
    <t xml:space="preserve">SCORE DRIVER DEFINITIONS</t>
  </si>
  <si>
    <t xml:space="preserve">Score Driver</t>
  </si>
  <si>
    <t xml:space="preserve">Definition</t>
  </si>
  <si>
    <t xml:space="preserve">Interpretation</t>
  </si>
  <si>
    <t xml:space="preserve">How to Use</t>
  </si>
  <si>
    <t xml:space="preserve">Tier Thresholds</t>
  </si>
  <si>
    <t xml:space="preserve">Color Code</t>
  </si>
  <si>
    <t xml:space="preserve">Alignment (1–5)</t>
  </si>
  <si>
    <t xml:space="preserve">How tightly the partner's content matches Neuro Progeny brand and methodology</t>
  </si>
  <si>
    <t xml:space="preserve">5 = direct regulation / performance fit</t>
  </si>
  <si>
    <t xml:space="preserve">Use for message resonance and script selection</t>
  </si>
  <si>
    <t xml:space="preserve">Blue input</t>
  </si>
  <si>
    <t xml:space="preserve">19–20 = A Tier</t>
  </si>
  <si>
    <t xml:space="preserve">Blue cell = hardcoded input</t>
  </si>
  <si>
    <t xml:space="preserve">Commercial Relevance (1–5)</t>
  </si>
  <si>
    <t xml:space="preserve">How easy it is to connect their audience to a paid product or partnership offer</t>
  </si>
  <si>
    <t xml:space="preserve">5 = clear buyer intent or direct ROI pathway</t>
  </si>
  <si>
    <t xml:space="preserve">Use to prioritize outreach sequencing</t>
  </si>
  <si>
    <t xml:space="preserve">17–18 = B Tier</t>
  </si>
  <si>
    <t xml:space="preserve">Black = formula</t>
  </si>
  <si>
    <t xml:space="preserve">Outreach Ease (1–5)</t>
  </si>
  <si>
    <t xml:space="preserve">How approachable the person seems for a test partnership or first DM</t>
  </si>
  <si>
    <t xml:space="preserve">5 = niche / practical / likely to experiment</t>
  </si>
  <si>
    <t xml:space="preserve">Use for pilot wave selection</t>
  </si>
  <si>
    <t xml:space="preserve">15–16 = C Tier</t>
  </si>
  <si>
    <t xml:space="preserve">Green = cross-sheet link</t>
  </si>
  <si>
    <t xml:space="preserve">Credibility (1–5)</t>
  </si>
  <si>
    <t xml:space="preserve">How much trust, authority, or niche expertise they appear to carry</t>
  </si>
  <si>
    <t xml:space="preserve">5 = strong professional credibility or published research</t>
  </si>
  <si>
    <t xml:space="preserve">Use for brand safety and co-branding decisions</t>
  </si>
  <si>
    <t xml:space="preserve">&lt; 15 = D Tier</t>
  </si>
  <si>
    <t xml:space="preserve">Yellow = needs attention</t>
  </si>
  <si>
    <t xml:space="preserve">Sum of all four score drivers (max 20)</t>
  </si>
  <si>
    <t xml:space="preserve">Determines A/B/C/D tier classification</t>
  </si>
  <si>
    <t xml:space="preserve">Use for outreach sequencing and prioritization</t>
  </si>
  <si>
    <t xml:space="preserve">Formula: =Alignment+CommRel+OutEase+Cred</t>
  </si>
  <si>
    <t xml:space="preserve">Purple = auto-assigned tier</t>
  </si>
  <si>
    <t xml:space="preserve">PRIORITY TIER DEFINITIONS</t>
  </si>
  <si>
    <t xml:space="preserve">Tier</t>
  </si>
  <si>
    <t xml:space="preserve">Description</t>
  </si>
  <si>
    <t xml:space="preserve">A Tier (19–20)</t>
  </si>
  <si>
    <t xml:space="preserve">Top priority — reach out immediately. Highest alignment + commercial potential.</t>
  </si>
  <si>
    <t xml:space="preserve">B Tier (17–18)</t>
  </si>
  <si>
    <t xml:space="preserve">High value — include in first wave. Strong fit, minor gaps.</t>
  </si>
  <si>
    <t xml:space="preserve">C Tier (15–16)</t>
  </si>
  <si>
    <t xml:space="preserve">Warm targets — second wave or nurture track. Good fit but lower immediacy.</t>
  </si>
  <si>
    <t xml:space="preserve">D Tier (&lt; 15)</t>
  </si>
  <si>
    <t xml:space="preserve">Monitor only — hold for later or reassess with updated data.</t>
  </si>
  <si>
    <t xml:space="preserve">PIPELINE STAGES — Standard Definitions</t>
  </si>
  <si>
    <t xml:space="preserve">Stage</t>
  </si>
  <si>
    <t xml:space="preserve">Identified, not yet contacted</t>
  </si>
  <si>
    <t xml:space="preserve">Initial DM or email sent</t>
  </si>
  <si>
    <t xml:space="preserve">They have replied — conversation open</t>
  </si>
  <si>
    <t xml:space="preserve">Intro Call Scheduled</t>
  </si>
  <si>
    <t xml:space="preserve">Meeting booked</t>
  </si>
  <si>
    <t xml:space="preserve">Discussing terms, offer structure</t>
  </si>
  <si>
    <t xml:space="preserve">Agreement in place, active collaboration</t>
  </si>
  <si>
    <t xml:space="preserve">Paused — revisit in next cycle</t>
  </si>
  <si>
    <t xml:space="preserve">Said no — log reason and tag</t>
  </si>
  <si>
    <t xml:space="preserve">SOCIAL MEDIA FOLLOWER FIELDS — What to Track &amp; Why</t>
  </si>
  <si>
    <t xml:space="preserve">Strategic Notes for NP Outreach</t>
  </si>
  <si>
    <t xml:space="preserve">Instagram Followers</t>
  </si>
  <si>
    <t xml:space="preserve">Total follower count on profile</t>
  </si>
  <si>
    <t xml:space="preserve">Primary visual/short-form channel for somatic + wellness creators</t>
  </si>
  <si>
    <t xml:space="preserve">LinkedIn Followers</t>
  </si>
  <si>
    <t xml:space="preserve">Connections + followers on LinkedIn</t>
  </si>
  <si>
    <t xml:space="preserve">Key B2B channel; high commercial relevance for corporate &amp; executive niches</t>
  </si>
  <si>
    <t xml:space="preserve">YouTube Subscribers</t>
  </si>
  <si>
    <t xml:space="preserve">Total channel subscribers</t>
  </si>
  <si>
    <t xml:space="preserve">Depth signal; high credibility; indicates long-form trust relationship</t>
  </si>
  <si>
    <t xml:space="preserve">TikTok Followers</t>
  </si>
  <si>
    <t xml:space="preserve">Total TikTok followers</t>
  </si>
  <si>
    <t xml:space="preserve">Broad reach; viral potential; typically lower commercial conversion rate</t>
  </si>
  <si>
    <t xml:space="preserve">Facebook Followers</t>
  </si>
  <si>
    <t xml:space="preserve">Page likes or follower count</t>
  </si>
  <si>
    <t xml:space="preserve">Relevant for parent audience, older demographics, community groups</t>
  </si>
  <si>
    <t xml:space="preserve">Twitter/X Followers</t>
  </si>
  <si>
    <t xml:space="preserve">Twitter/X follower count</t>
  </si>
  <si>
    <t xml:space="preserve">Thought leadership signal; strong for B2B and HRV/science niches</t>
  </si>
  <si>
    <t xml:space="preserve">Podcast Listeners</t>
  </si>
  <si>
    <t xml:space="preserve">Monthly downloads or stated subscriber count</t>
  </si>
  <si>
    <t xml:space="preserve">High-trust audience; high conversion; premium brand safety channel</t>
  </si>
  <si>
    <t xml:space="preserve">Email List Subscribers</t>
  </si>
  <si>
    <t xml:space="preserve">Reported or estimated list size</t>
  </si>
  <si>
    <t xml:space="preserve">Highest commercial value signal — closest to direct revenue impact</t>
  </si>
  <si>
    <t xml:space="preserve">Total Est. Reach</t>
  </si>
  <si>
    <t xml:space="preserve">Auto-sum of all platform follower fields</t>
  </si>
  <si>
    <t xml:space="preserve">Top-line reach indicator — weight by channel quality, not raw number alone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</si>
</sst>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78421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8ECEB"/>
        <bgColor rgb="FFD1ECF1"/>
      </patternFill>
    </fill>
    <fill>
      <patternFill patternType="solid">
        <fgColor rgb="FF0E7C7B"/>
        <bgColor rgb="FF0077B5"/>
      </patternFill>
    </fill>
    <fill>
      <patternFill patternType="solid">
        <fgColor rgb="FF784212"/>
        <bgColor rgb="FF4A5568"/>
      </patternFill>
    </fill>
    <fill>
      <patternFill patternType="solid">
        <fgColor rgb="FF4A235B"/>
        <bgColor rgb="FF333333"/>
      </patternFill>
    </fill>
    <fill>
      <patternFill patternType="solid">
        <fgColor rgb="FF1A5276"/>
        <bgColor rgb="FF145A32"/>
      </patternFill>
    </fill>
    <fill>
      <patternFill patternType="solid">
        <fgColor rgb="FF145A32"/>
        <bgColor rgb="FF1A5276"/>
      </patternFill>
    </fill>
    <fill>
      <patternFill patternType="solid">
        <fgColor rgb="FF4A5568"/>
        <bgColor rgb="FF1A5276"/>
      </patternFill>
    </fill>
    <fill>
      <patternFill patternType="solid">
        <fgColor rgb="FF333333"/>
        <bgColor rgb="FF4A235B"/>
      </patternFill>
    </fill>
    <fill>
      <patternFill patternType="solid">
        <fgColor rgb="FFF09433"/>
        <bgColor rgb="FFF4A823"/>
      </patternFill>
    </fill>
    <fill>
      <patternFill patternType="solid">
        <fgColor rgb="FF0077B5"/>
        <bgColor rgb="FF0E7C7B"/>
      </patternFill>
    </fill>
    <fill>
      <patternFill patternType="solid">
        <fgColor rgb="FFFF0000"/>
        <bgColor rgb="FF800000"/>
      </patternFill>
    </fill>
    <fill>
      <patternFill patternType="solid">
        <fgColor rgb="FF69C9D0"/>
        <bgColor rgb="FF1DA1F2"/>
      </patternFill>
    </fill>
    <fill>
      <patternFill patternType="solid">
        <fgColor rgb="FF1877F2"/>
        <bgColor rgb="FF0077B5"/>
      </patternFill>
    </fill>
    <fill>
      <patternFill patternType="solid">
        <fgColor rgb="FF1DA1F2"/>
        <bgColor rgb="FF1877F2"/>
      </patternFill>
    </fill>
    <fill>
      <patternFill patternType="solid">
        <fgColor rgb="FF9B59B6"/>
        <bgColor rgb="FF4A5568"/>
      </patternFill>
    </fill>
    <fill>
      <patternFill patternType="solid">
        <fgColor rgb="FF27AE60"/>
        <bgColor rgb="FF0E7C7B"/>
      </patternFill>
    </fill>
    <fill>
      <patternFill patternType="solid">
        <fgColor rgb="FFE67E22"/>
        <bgColor rgb="FFF09433"/>
      </patternFill>
    </fill>
    <fill>
      <patternFill patternType="solid">
        <fgColor rgb="FFF7F9FC"/>
        <bgColor rgb="FFFFF9F0"/>
      </patternFill>
    </fill>
    <fill>
      <patternFill patternType="solid">
        <fgColor rgb="FFEBF5FB"/>
        <bgColor rgb="FFEBF3FF"/>
      </patternFill>
    </fill>
    <fill>
      <patternFill patternType="solid">
        <fgColor rgb="FFFFF5E6"/>
        <bgColor rgb="FFFFF8E8"/>
      </patternFill>
    </fill>
    <fill>
      <patternFill patternType="solid">
        <fgColor rgb="FFFFE8CC"/>
        <bgColor rgb="FFFFF3CD"/>
      </patternFill>
    </fill>
    <fill>
      <patternFill patternType="solid">
        <fgColor rgb="FFEBF3FF"/>
        <bgColor rgb="FFE8F4FF"/>
      </patternFill>
    </fill>
    <fill>
      <patternFill patternType="solid">
        <fgColor rgb="FFEDE7F6"/>
        <bgColor rgb="FFF0E8FF"/>
      </patternFill>
    </fill>
    <fill>
      <patternFill patternType="solid">
        <fgColor rgb="FFE0F5E9"/>
        <bgColor rgb="FFEBF5FB"/>
      </patternFill>
    </fill>
    <fill>
      <patternFill patternType="solid">
        <fgColor rgb="FFFEF3DC"/>
        <bgColor rgb="FFFFF5E6"/>
      </patternFill>
    </fill>
    <fill>
      <patternFill patternType="solid">
        <fgColor rgb="FFFFF9F0"/>
        <bgColor rgb="FFFFF8E8"/>
      </patternFill>
    </fill>
    <fill>
      <patternFill patternType="solid">
        <fgColor rgb="FFFFFFFF"/>
        <bgColor rgb="FFF7F9FC"/>
      </patternFill>
    </fill>
    <fill>
      <patternFill patternType="solid">
        <fgColor rgb="FFFFE8E8"/>
        <bgColor rgb="FFFFE8F8"/>
      </patternFill>
    </fill>
    <fill>
      <patternFill patternType="solid">
        <fgColor rgb="FFE8F4FF"/>
        <bgColor rgb="FFEBF3FF"/>
      </patternFill>
    </fill>
    <fill>
      <patternFill patternType="solid">
        <fgColor rgb="FFE8FFE8"/>
        <bgColor rgb="FFE8FFF0"/>
      </patternFill>
    </fill>
    <fill>
      <patternFill patternType="solid">
        <fgColor rgb="FFF0E8FF"/>
        <bgColor rgb="FFEDE7F6"/>
      </patternFill>
    </fill>
    <fill>
      <patternFill patternType="solid">
        <fgColor rgb="FFFFF0E8"/>
        <bgColor rgb="FFFFF5E6"/>
      </patternFill>
    </fill>
    <fill>
      <patternFill patternType="solid">
        <fgColor rgb="FFE8FFF0"/>
        <bgColor rgb="FFE8FFE8"/>
      </patternFill>
    </fill>
    <fill>
      <patternFill patternType="solid">
        <fgColor rgb="FFF0F0FF"/>
        <bgColor rgb="FFEBF3FF"/>
      </patternFill>
    </fill>
    <fill>
      <patternFill patternType="solid">
        <fgColor rgb="FFFFF8E8"/>
        <bgColor rgb="FFFFF5E6"/>
      </patternFill>
    </fill>
    <fill>
      <patternFill patternType="solid">
        <fgColor rgb="FFFFE8F8"/>
        <bgColor rgb="FFFFE8E8"/>
      </patternFill>
    </fill>
    <fill>
      <patternFill patternType="solid">
        <fgColor rgb="FFE8F0FF"/>
        <bgColor rgb="FFEBF3FF"/>
      </patternFill>
    </fill>
    <fill>
      <patternFill patternType="solid">
        <fgColor rgb="FFF0FFE8"/>
        <bgColor rgb="FFE8FFE8"/>
      </patternFill>
    </fill>
    <fill>
      <patternFill patternType="solid">
        <fgColor rgb="FFFFF3CD"/>
        <bgColor rgb="FFFEF3DC"/>
      </patternFill>
    </fill>
    <fill>
      <patternFill patternType="solid">
        <fgColor rgb="FFD4EDDA"/>
        <bgColor rgb="FFD1ECF1"/>
      </patternFill>
    </fill>
    <fill>
      <patternFill patternType="solid">
        <fgColor rgb="FFCCE5FF"/>
        <bgColor rgb="FFD1ECF1"/>
      </patternFill>
    </fill>
    <fill>
      <patternFill patternType="solid">
        <fgColor rgb="FFD1ECF1"/>
        <bgColor rgb="FFC8ECEB"/>
      </patternFill>
    </fill>
    <fill>
      <patternFill patternType="solid">
        <fgColor rgb="FFF8D7DA"/>
        <bgColor rgb="FFFFE0E0"/>
      </patternFill>
    </fill>
    <fill>
      <patternFill patternType="solid">
        <fgColor rgb="FFE2E3E5"/>
        <bgColor rgb="FFEDE7F6"/>
      </patternFill>
    </fill>
    <fill>
      <patternFill patternType="solid">
        <fgColor rgb="FFFFE0E0"/>
        <bgColor rgb="FFFF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0FFE8"/>
      <rgbColor rgb="FF0000FF"/>
      <rgbColor rgb="FFFFE8CC"/>
      <rgbColor rgb="FFFFF0E8"/>
      <rgbColor rgb="FFE8FFF0"/>
      <rgbColor rgb="FF800000"/>
      <rgbColor rgb="FF145A32"/>
      <rgbColor rgb="FF000080"/>
      <rgbColor rgb="FFE8F0FF"/>
      <rgbColor rgb="FFF7F9FC"/>
      <rgbColor rgb="FF0E7C7B"/>
      <rgbColor rgb="FFCCCCCC"/>
      <rgbColor rgb="FF9B59B6"/>
      <rgbColor rgb="FFEDE7F6"/>
      <rgbColor rgb="FFFFE8F8"/>
      <rgbColor rgb="FFFFF3CD"/>
      <rgbColor rgb="FFE0F5E9"/>
      <rgbColor rgb="FF660066"/>
      <rgbColor rgb="FFF09433"/>
      <rgbColor rgb="FF0077B5"/>
      <rgbColor rgb="FFCCE5FF"/>
      <rgbColor rgb="FF000080"/>
      <rgbColor rgb="FFEBF5FB"/>
      <rgbColor rgb="FFFFF5E6"/>
      <rgbColor rgb="FFE8F4FF"/>
      <rgbColor rgb="FFFFF9F0"/>
      <rgbColor rgb="FF800000"/>
      <rgbColor rgb="FFEBF3FF"/>
      <rgbColor rgb="FF0000FF"/>
      <rgbColor rgb="FF1DA1F2"/>
      <rgbColor rgb="FFD1ECF1"/>
      <rgbColor rgb="FFD4EDDA"/>
      <rgbColor rgb="FFFEF3DC"/>
      <rgbColor rgb="FFC8ECEB"/>
      <rgbColor rgb="FFFFE0E0"/>
      <rgbColor rgb="FFE2E3E5"/>
      <rgbColor rgb="FFF8D7DA"/>
      <rgbColor rgb="FF1877F2"/>
      <rgbColor rgb="FF69C9D0"/>
      <rgbColor rgb="FFE8FFE8"/>
      <rgbColor rgb="FFFFE8E8"/>
      <rgbColor rgb="FFF4A823"/>
      <rgbColor rgb="FFE67E22"/>
      <rgbColor rgb="FF4A5568"/>
      <rgbColor rgb="FFF0E8FF"/>
      <rgbColor rgb="FF1A5276"/>
      <rgbColor rgb="FF27AE60"/>
      <rgbColor rgb="FF0D1B2A"/>
      <rgbColor rgb="FFFFF8E8"/>
      <rgbColor rgb="FF784212"/>
      <rgbColor rgb="FFF0F0FF"/>
      <rgbColor rgb="FF4A235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BM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30"/>
    <col collapsed="false" customWidth="true" hidden="false" outlineLevel="0" max="12" min="12" style="1" width="26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7" min="15" style="1" width="10"/>
    <col collapsed="false" customWidth="true" hidden="false" outlineLevel="0" max="18" min="18" style="1" width="24"/>
    <col collapsed="false" customWidth="true" hidden="false" outlineLevel="0" max="27" min="19" style="1" width="13"/>
    <col collapsed="false" customWidth="true" hidden="false" outlineLevel="0" max="28" min="28" style="1" width="32"/>
    <col collapsed="false" customWidth="true" hidden="false" outlineLevel="0" max="29" min="29" style="1" width="18"/>
    <col collapsed="false" customWidth="true" hidden="false" outlineLevel="0" max="32" min="30" style="1" width="14"/>
    <col collapsed="false" customWidth="true" hidden="false" outlineLevel="0" max="33" min="33" style="1" width="22"/>
    <col collapsed="false" customWidth="true" hidden="false" outlineLevel="0" max="34" min="34" style="1" width="28"/>
    <col collapsed="false" customWidth="true" hidden="false" outlineLevel="0" max="36" min="35" style="1" width="22"/>
    <col collapsed="false" customWidth="true" hidden="false" outlineLevel="0" max="37" min="37" style="1" width="14"/>
    <col collapsed="false" customWidth="true" hidden="false" outlineLevel="0" max="38" min="38" style="1" width="12"/>
    <col collapsed="false" customWidth="true" hidden="false" outlineLevel="0" max="39" min="39" style="1" width="22"/>
    <col collapsed="false" customWidth="true" hidden="false" outlineLevel="0" max="41" min="40" style="1" width="12"/>
    <col collapsed="false" customWidth="true" hidden="false" outlineLevel="0" max="44" min="42" style="1" width="14"/>
    <col collapsed="false" customWidth="true" hidden="false" outlineLevel="0" max="45" min="45" style="1" width="16"/>
    <col collapsed="false" customWidth="true" hidden="false" outlineLevel="0" max="46" min="46" style="1" width="14"/>
    <col collapsed="false" customWidth="true" hidden="false" outlineLevel="0" max="47" min="47" style="1" width="22"/>
    <col collapsed="false" customWidth="true" hidden="false" outlineLevel="0" max="48" min="48" style="1" width="30"/>
    <col collapsed="false" customWidth="true" hidden="false" outlineLevel="0" max="49" min="49" style="1" width="12"/>
    <col collapsed="false" customWidth="true" hidden="false" outlineLevel="0" max="50" min="50" style="1" width="22"/>
    <col collapsed="false" customWidth="true" hidden="false" outlineLevel="0" max="51" min="51" style="1" width="30"/>
    <col collapsed="false" customWidth="true" hidden="false" outlineLevel="0" max="52" min="52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5" t="s">
        <v>3</v>
      </c>
      <c r="K3" s="5"/>
      <c r="L3" s="5"/>
      <c r="M3" s="5"/>
      <c r="N3" s="5"/>
      <c r="O3" s="5"/>
      <c r="P3" s="5"/>
      <c r="Q3" s="5"/>
      <c r="R3" s="5"/>
      <c r="S3" s="6" t="s">
        <v>4</v>
      </c>
      <c r="T3" s="6"/>
      <c r="U3" s="6"/>
      <c r="V3" s="6"/>
      <c r="W3" s="6"/>
      <c r="X3" s="6"/>
      <c r="Y3" s="6"/>
      <c r="Z3" s="6"/>
      <c r="AA3" s="6"/>
      <c r="AB3" s="7" t="s">
        <v>5</v>
      </c>
      <c r="AC3" s="7"/>
      <c r="AD3" s="7"/>
      <c r="AE3" s="7"/>
      <c r="AF3" s="7"/>
      <c r="AG3" s="8" t="s">
        <v>6</v>
      </c>
      <c r="AH3" s="8"/>
      <c r="AI3" s="8"/>
      <c r="AJ3" s="8"/>
      <c r="AK3" s="8"/>
      <c r="AL3" s="8"/>
      <c r="AM3" s="8"/>
      <c r="AN3" s="9" t="s">
        <v>7</v>
      </c>
      <c r="AO3" s="9"/>
      <c r="AP3" s="9"/>
      <c r="AQ3" s="9"/>
      <c r="AR3" s="9"/>
      <c r="AS3" s="9"/>
      <c r="AT3" s="9"/>
      <c r="AU3" s="6" t="s">
        <v>8</v>
      </c>
      <c r="AV3" s="6"/>
      <c r="AW3" s="6"/>
      <c r="AX3" s="6"/>
      <c r="AY3" s="6"/>
      <c r="AZ3" s="6"/>
      <c r="BA3" s="6"/>
      <c r="BB3" s="10" t="s">
        <v>9</v>
      </c>
      <c r="BC3" s="10"/>
      <c r="BD3" s="10"/>
      <c r="BE3" s="10"/>
      <c r="BF3" s="10"/>
      <c r="BG3" s="10"/>
      <c r="BH3" s="10"/>
      <c r="BI3" s="10"/>
      <c r="BJ3" s="11" t="s">
        <v>10</v>
      </c>
      <c r="BK3" s="11"/>
      <c r="BL3" s="11"/>
      <c r="BM3" s="11"/>
    </row>
    <row r="4" customFormat="false" ht="39.75" hidden="false" customHeight="true" outlineLevel="0" collapsed="false">
      <c r="A4" s="12" t="s">
        <v>11</v>
      </c>
      <c r="B4" s="12" t="s">
        <v>12</v>
      </c>
      <c r="C4" s="12" t="s">
        <v>13</v>
      </c>
      <c r="D4" s="12" t="s">
        <v>14</v>
      </c>
      <c r="E4" s="12" t="s">
        <v>15</v>
      </c>
      <c r="F4" s="12" t="s">
        <v>16</v>
      </c>
      <c r="G4" s="12" t="s">
        <v>17</v>
      </c>
      <c r="H4" s="12" t="s">
        <v>18</v>
      </c>
      <c r="I4" s="12" t="s">
        <v>19</v>
      </c>
      <c r="J4" s="12" t="s">
        <v>20</v>
      </c>
      <c r="K4" s="12" t="s">
        <v>21</v>
      </c>
      <c r="L4" s="12" t="s">
        <v>22</v>
      </c>
      <c r="M4" s="12" t="s">
        <v>23</v>
      </c>
      <c r="N4" s="12" t="s">
        <v>24</v>
      </c>
      <c r="O4" s="12" t="s">
        <v>25</v>
      </c>
      <c r="P4" s="12" t="s">
        <v>26</v>
      </c>
      <c r="Q4" s="12" t="s">
        <v>27</v>
      </c>
      <c r="R4" s="12" t="s">
        <v>28</v>
      </c>
      <c r="S4" s="13" t="s">
        <v>29</v>
      </c>
      <c r="T4" s="14" t="s">
        <v>30</v>
      </c>
      <c r="U4" s="15" t="s">
        <v>31</v>
      </c>
      <c r="V4" s="16" t="s">
        <v>32</v>
      </c>
      <c r="W4" s="17" t="s">
        <v>33</v>
      </c>
      <c r="X4" s="18" t="s">
        <v>34</v>
      </c>
      <c r="Y4" s="19" t="s">
        <v>35</v>
      </c>
      <c r="Z4" s="20" t="s">
        <v>36</v>
      </c>
      <c r="AA4" s="21" t="s">
        <v>37</v>
      </c>
      <c r="AB4" s="12" t="s">
        <v>38</v>
      </c>
      <c r="AC4" s="12" t="s">
        <v>39</v>
      </c>
      <c r="AD4" s="12" t="s">
        <v>40</v>
      </c>
      <c r="AE4" s="12" t="s">
        <v>41</v>
      </c>
      <c r="AF4" s="12" t="s">
        <v>42</v>
      </c>
      <c r="AG4" s="12" t="s">
        <v>43</v>
      </c>
      <c r="AH4" s="12" t="s">
        <v>44</v>
      </c>
      <c r="AI4" s="12" t="s">
        <v>45</v>
      </c>
      <c r="AJ4" s="12" t="s">
        <v>46</v>
      </c>
      <c r="AK4" s="12" t="s">
        <v>47</v>
      </c>
      <c r="AL4" s="12" t="s">
        <v>48</v>
      </c>
      <c r="AM4" s="12" t="s">
        <v>49</v>
      </c>
      <c r="AN4" s="12" t="s">
        <v>50</v>
      </c>
      <c r="AO4" s="12" t="s">
        <v>51</v>
      </c>
      <c r="AP4" s="12" t="s">
        <v>52</v>
      </c>
      <c r="AQ4" s="12" t="s">
        <v>53</v>
      </c>
      <c r="AR4" s="12" t="s">
        <v>54</v>
      </c>
      <c r="AS4" s="12" t="s">
        <v>55</v>
      </c>
      <c r="AT4" s="12" t="s">
        <v>56</v>
      </c>
      <c r="AU4" s="12" t="s">
        <v>57</v>
      </c>
      <c r="AV4" s="12" t="s">
        <v>58</v>
      </c>
      <c r="AW4" s="12" t="s">
        <v>59</v>
      </c>
      <c r="AX4" s="12" t="s">
        <v>60</v>
      </c>
      <c r="AY4" s="12" t="s">
        <v>61</v>
      </c>
      <c r="AZ4" s="12" t="s">
        <v>62</v>
      </c>
      <c r="BA4" s="12" t="s">
        <v>63</v>
      </c>
      <c r="BB4" s="12" t="s">
        <v>64</v>
      </c>
      <c r="BC4" s="12" t="s">
        <v>65</v>
      </c>
      <c r="BD4" s="12" t="s">
        <v>66</v>
      </c>
      <c r="BE4" s="12" t="s">
        <v>67</v>
      </c>
      <c r="BF4" s="12" t="s">
        <v>68</v>
      </c>
      <c r="BG4" s="12" t="s">
        <v>69</v>
      </c>
      <c r="BH4" s="12" t="s">
        <v>70</v>
      </c>
      <c r="BI4" s="12" t="s">
        <v>71</v>
      </c>
      <c r="BJ4" s="12" t="s">
        <v>72</v>
      </c>
      <c r="BK4" s="12" t="s">
        <v>73</v>
      </c>
      <c r="BL4" s="12" t="s">
        <v>74</v>
      </c>
      <c r="BM4" s="12" t="s">
        <v>75</v>
      </c>
    </row>
    <row r="5" customFormat="false" ht="45" hidden="false" customHeight="true" outlineLevel="0" collapsed="false">
      <c r="A5" s="22" t="n">
        <v>1</v>
      </c>
      <c r="B5" s="22" t="s">
        <v>76</v>
      </c>
      <c r="C5" s="22" t="s">
        <v>77</v>
      </c>
      <c r="D5" s="22" t="s">
        <v>78</v>
      </c>
      <c r="E5" s="22" t="s">
        <v>79</v>
      </c>
      <c r="F5" s="22" t="s">
        <v>80</v>
      </c>
      <c r="G5" s="22" t="s">
        <v>81</v>
      </c>
      <c r="H5" s="22" t="s">
        <v>82</v>
      </c>
      <c r="I5" s="22" t="s">
        <v>83</v>
      </c>
      <c r="J5" s="23" t="s">
        <v>84</v>
      </c>
      <c r="K5" s="23" t="s">
        <v>85</v>
      </c>
      <c r="L5" s="23" t="s">
        <v>85</v>
      </c>
      <c r="M5" s="23" t="s">
        <v>86</v>
      </c>
      <c r="N5" s="23" t="s">
        <v>87</v>
      </c>
      <c r="O5" s="23"/>
      <c r="P5" s="23"/>
      <c r="Q5" s="23"/>
      <c r="R5" s="23" t="s">
        <v>88</v>
      </c>
      <c r="S5" s="24"/>
      <c r="T5" s="24"/>
      <c r="U5" s="24"/>
      <c r="V5" s="24"/>
      <c r="W5" s="24"/>
      <c r="X5" s="24"/>
      <c r="Y5" s="24"/>
      <c r="Z5" s="24"/>
      <c r="AA5" s="25" t="n">
        <f aca="false">IFERROR(SUM(S5:Z5),"")</f>
        <v>0</v>
      </c>
      <c r="AB5" s="26" t="n">
        <v>5</v>
      </c>
      <c r="AC5" s="26" t="n">
        <v>5</v>
      </c>
      <c r="AD5" s="26" t="n">
        <v>4</v>
      </c>
      <c r="AE5" s="26" t="n">
        <v>5</v>
      </c>
      <c r="AF5" s="26" t="n">
        <f aca="false">S5+T5+U5+V5</f>
        <v>0</v>
      </c>
      <c r="AG5" s="27" t="s">
        <v>89</v>
      </c>
      <c r="AH5" s="27" t="s">
        <v>90</v>
      </c>
      <c r="AI5" s="27" t="s">
        <v>91</v>
      </c>
      <c r="AJ5" s="27" t="s">
        <v>92</v>
      </c>
      <c r="AK5" s="27" t="s">
        <v>93</v>
      </c>
      <c r="AL5" s="27" t="s">
        <v>94</v>
      </c>
      <c r="AM5" s="27" t="s">
        <v>95</v>
      </c>
      <c r="AN5" s="28" t="s">
        <v>96</v>
      </c>
      <c r="AO5" s="28" t="s">
        <v>97</v>
      </c>
      <c r="AP5" s="28" t="s">
        <v>98</v>
      </c>
      <c r="AQ5" s="28" t="s">
        <v>99</v>
      </c>
      <c r="AR5" s="28" t="s">
        <v>100</v>
      </c>
      <c r="AS5" s="28" t="s">
        <v>101</v>
      </c>
      <c r="AT5" s="28" t="s">
        <v>102</v>
      </c>
      <c r="AU5" s="29" t="s">
        <v>103</v>
      </c>
      <c r="AV5" s="29" t="s">
        <v>97</v>
      </c>
      <c r="AW5" s="29" t="s">
        <v>104</v>
      </c>
      <c r="AX5" s="29"/>
      <c r="AY5" s="29" t="s">
        <v>105</v>
      </c>
      <c r="AZ5" s="29"/>
      <c r="BA5" s="29"/>
      <c r="BB5" s="30" t="s">
        <v>106</v>
      </c>
      <c r="BC5" s="30" t="s">
        <v>107</v>
      </c>
      <c r="BD5" s="30" t="s">
        <v>108</v>
      </c>
      <c r="BE5" s="30" t="s">
        <v>109</v>
      </c>
      <c r="BF5" s="30" t="s">
        <v>110</v>
      </c>
      <c r="BG5" s="30" t="s">
        <v>111</v>
      </c>
      <c r="BH5" s="30" t="s">
        <v>112</v>
      </c>
      <c r="BI5" s="30" t="s">
        <v>113</v>
      </c>
      <c r="BJ5" s="22" t="s">
        <v>114</v>
      </c>
      <c r="BK5" s="22" t="s">
        <v>115</v>
      </c>
      <c r="BL5" s="22" t="s">
        <v>116</v>
      </c>
      <c r="BM5" s="22" t="s">
        <v>117</v>
      </c>
    </row>
  </sheetData>
  <mergeCells count="11">
    <mergeCell ref="A1:BM1"/>
    <mergeCell ref="A2:BM2"/>
    <mergeCell ref="A3:I3"/>
    <mergeCell ref="J3:R3"/>
    <mergeCell ref="S3:AA3"/>
    <mergeCell ref="AB3:AF3"/>
    <mergeCell ref="AG3:AM3"/>
    <mergeCell ref="AN3:AT3"/>
    <mergeCell ref="AU3:BA3"/>
    <mergeCell ref="BB3:BI3"/>
    <mergeCell ref="BJ3:B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Z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6" min="5" style="1" width="28"/>
    <col collapsed="false" customWidth="true" hidden="false" outlineLevel="0" max="7" min="7" style="1" width="20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32"/>
    <col collapsed="false" customWidth="true" hidden="false" outlineLevel="0" max="15" min="15" style="1" width="42"/>
    <col collapsed="false" customWidth="true" hidden="false" outlineLevel="0" max="16" min="16" style="1" width="38"/>
    <col collapsed="false" customWidth="true" hidden="false" outlineLevel="0" max="17" min="17" style="1" width="14"/>
    <col collapsed="false" customWidth="true" hidden="false" outlineLevel="0" max="26" min="18" style="0" width="13"/>
  </cols>
  <sheetData>
    <row r="1" customFormat="false" ht="27.75" hidden="false" customHeight="true" outlineLevel="0" collapsed="false">
      <c r="A1" s="31" t="s">
        <v>118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21.75" hidden="false" customHeight="true" outlineLevel="0" collapsed="false">
      <c r="A2" s="3" t="s">
        <v>119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75" hidden="false" customHeight="true" outlineLevel="0" collapsed="false">
      <c r="A3" s="32" t="s">
        <v>11</v>
      </c>
      <c r="B3" s="32" t="s">
        <v>120</v>
      </c>
      <c r="C3" s="32" t="s">
        <v>121</v>
      </c>
      <c r="D3" s="32" t="s">
        <v>122</v>
      </c>
      <c r="E3" s="32" t="s">
        <v>45</v>
      </c>
      <c r="F3" s="32" t="s">
        <v>46</v>
      </c>
      <c r="G3" s="32" t="s">
        <v>44</v>
      </c>
      <c r="H3" s="32" t="s">
        <v>38</v>
      </c>
      <c r="I3" s="32" t="s">
        <v>39</v>
      </c>
      <c r="J3" s="32" t="s">
        <v>40</v>
      </c>
      <c r="K3" s="32" t="s">
        <v>41</v>
      </c>
      <c r="L3" s="32" t="s">
        <v>42</v>
      </c>
      <c r="M3" s="32" t="s">
        <v>123</v>
      </c>
      <c r="N3" s="32" t="s">
        <v>47</v>
      </c>
      <c r="O3" s="32" t="s">
        <v>48</v>
      </c>
      <c r="P3" s="32" t="s">
        <v>124</v>
      </c>
      <c r="Q3" s="32" t="s">
        <v>125</v>
      </c>
      <c r="R3" s="13" t="s">
        <v>29</v>
      </c>
      <c r="S3" s="14" t="s">
        <v>30</v>
      </c>
      <c r="T3" s="15" t="s">
        <v>31</v>
      </c>
      <c r="U3" s="16" t="s">
        <v>32</v>
      </c>
      <c r="V3" s="17" t="s">
        <v>33</v>
      </c>
      <c r="W3" s="18" t="s">
        <v>34</v>
      </c>
      <c r="X3" s="19" t="s">
        <v>35</v>
      </c>
      <c r="Y3" s="20" t="s">
        <v>36</v>
      </c>
      <c r="Z3" s="21" t="s">
        <v>37</v>
      </c>
    </row>
    <row r="4" customFormat="false" ht="42" hidden="false" customHeight="true" outlineLevel="0" collapsed="false">
      <c r="A4" s="33" t="s">
        <v>11</v>
      </c>
      <c r="B4" s="33" t="s">
        <v>120</v>
      </c>
      <c r="C4" s="33" t="s">
        <v>121</v>
      </c>
      <c r="D4" s="34" t="s">
        <v>122</v>
      </c>
      <c r="E4" s="34" t="s">
        <v>45</v>
      </c>
      <c r="F4" s="34" t="s">
        <v>46</v>
      </c>
      <c r="G4" s="34" t="s">
        <v>44</v>
      </c>
      <c r="H4" s="34" t="s">
        <v>126</v>
      </c>
      <c r="I4" s="34" t="s">
        <v>127</v>
      </c>
      <c r="J4" s="34" t="s">
        <v>128</v>
      </c>
      <c r="K4" s="34" t="s">
        <v>129</v>
      </c>
      <c r="L4" s="34" t="str">
        <f aca="false">IFERROR(H4+I4+J4+K4,"")</f>
        <v/>
      </c>
      <c r="M4" s="34" t="s">
        <v>42</v>
      </c>
      <c r="N4" s="34" t="s">
        <v>47</v>
      </c>
      <c r="O4" s="34" t="s">
        <v>48</v>
      </c>
      <c r="P4" s="34" t="s">
        <v>124</v>
      </c>
      <c r="Q4" s="34" t="s">
        <v>125</v>
      </c>
      <c r="R4" s="24"/>
      <c r="S4" s="24"/>
      <c r="T4" s="24"/>
      <c r="U4" s="24"/>
      <c r="V4" s="24"/>
      <c r="W4" s="24"/>
      <c r="X4" s="24"/>
      <c r="Y4" s="24"/>
      <c r="Z4" s="25" t="n">
        <f aca="false">IFERROR(SUM(R4:Y4),"")</f>
        <v>0</v>
      </c>
    </row>
    <row r="5" customFormat="false" ht="42" hidden="false" customHeight="true" outlineLevel="0" collapsed="false">
      <c r="A5" s="35" t="n">
        <v>1</v>
      </c>
      <c r="B5" s="35" t="s">
        <v>130</v>
      </c>
      <c r="C5" s="35" t="s">
        <v>131</v>
      </c>
      <c r="D5" s="36" t="s">
        <v>84</v>
      </c>
      <c r="E5" s="36" t="s">
        <v>132</v>
      </c>
      <c r="F5" s="36" t="s">
        <v>133</v>
      </c>
      <c r="G5" s="36" t="s">
        <v>134</v>
      </c>
      <c r="H5" s="36" t="n">
        <v>5</v>
      </c>
      <c r="I5" s="36" t="n">
        <v>5</v>
      </c>
      <c r="J5" s="36" t="n">
        <v>4</v>
      </c>
      <c r="K5" s="36" t="n">
        <v>5</v>
      </c>
      <c r="L5" s="36" t="n">
        <f aca="false">IFERROR(H5+I5+J5+K5,"")</f>
        <v>19</v>
      </c>
      <c r="M5" s="36"/>
      <c r="N5" s="36" t="s">
        <v>135</v>
      </c>
      <c r="O5" s="36" t="s">
        <v>136</v>
      </c>
      <c r="P5" s="36" t="s">
        <v>137</v>
      </c>
      <c r="Q5" s="36" t="s">
        <v>138</v>
      </c>
      <c r="R5" s="24"/>
      <c r="S5" s="24"/>
      <c r="T5" s="24"/>
      <c r="U5" s="24"/>
      <c r="V5" s="24"/>
      <c r="W5" s="24"/>
      <c r="X5" s="24"/>
      <c r="Y5" s="24"/>
      <c r="Z5" s="25" t="n">
        <f aca="false">IFERROR(SUM(R5:Y5),"")</f>
        <v>0</v>
      </c>
    </row>
    <row r="6" customFormat="false" ht="42" hidden="false" customHeight="true" outlineLevel="0" collapsed="false">
      <c r="A6" s="35" t="n">
        <v>2</v>
      </c>
      <c r="B6" s="35" t="s">
        <v>139</v>
      </c>
      <c r="C6" s="35" t="s">
        <v>140</v>
      </c>
      <c r="D6" s="36" t="s">
        <v>84</v>
      </c>
      <c r="E6" s="36" t="s">
        <v>132</v>
      </c>
      <c r="F6" s="36" t="s">
        <v>133</v>
      </c>
      <c r="G6" s="36" t="s">
        <v>134</v>
      </c>
      <c r="H6" s="36" t="n">
        <v>5</v>
      </c>
      <c r="I6" s="36" t="n">
        <v>5</v>
      </c>
      <c r="J6" s="36" t="n">
        <v>4</v>
      </c>
      <c r="K6" s="36" t="n">
        <v>5</v>
      </c>
      <c r="L6" s="36" t="n">
        <f aca="false">IFERROR(H6+I6+J6+K6,"")</f>
        <v>19</v>
      </c>
      <c r="M6" s="36"/>
      <c r="N6" s="36" t="s">
        <v>135</v>
      </c>
      <c r="O6" s="36" t="s">
        <v>141</v>
      </c>
      <c r="P6" s="36" t="s">
        <v>142</v>
      </c>
      <c r="Q6" s="36" t="s">
        <v>138</v>
      </c>
      <c r="R6" s="24"/>
      <c r="S6" s="24"/>
      <c r="T6" s="24"/>
      <c r="U6" s="24"/>
      <c r="V6" s="24"/>
      <c r="W6" s="24"/>
      <c r="X6" s="24"/>
      <c r="Y6" s="24"/>
      <c r="Z6" s="25" t="n">
        <f aca="false">IFERROR(SUM(R6:Y6),"")</f>
        <v>0</v>
      </c>
    </row>
    <row r="7" customFormat="false" ht="42" hidden="false" customHeight="true" outlineLevel="0" collapsed="false">
      <c r="A7" s="35" t="n">
        <v>3</v>
      </c>
      <c r="B7" s="35" t="s">
        <v>143</v>
      </c>
      <c r="C7" s="35" t="s">
        <v>144</v>
      </c>
      <c r="D7" s="36" t="s">
        <v>84</v>
      </c>
      <c r="E7" s="36" t="s">
        <v>132</v>
      </c>
      <c r="F7" s="36" t="s">
        <v>133</v>
      </c>
      <c r="G7" s="36" t="s">
        <v>134</v>
      </c>
      <c r="H7" s="36" t="n">
        <v>5</v>
      </c>
      <c r="I7" s="36" t="n">
        <v>5</v>
      </c>
      <c r="J7" s="36" t="n">
        <v>4</v>
      </c>
      <c r="K7" s="36" t="n">
        <v>5</v>
      </c>
      <c r="L7" s="36" t="n">
        <f aca="false">IFERROR(H7+I7+J7+K7,"")</f>
        <v>19</v>
      </c>
      <c r="M7" s="36"/>
      <c r="N7" s="36" t="s">
        <v>135</v>
      </c>
      <c r="O7" s="36" t="s">
        <v>145</v>
      </c>
      <c r="P7" s="36" t="s">
        <v>146</v>
      </c>
      <c r="Q7" s="36" t="s">
        <v>138</v>
      </c>
      <c r="R7" s="24"/>
      <c r="S7" s="24"/>
      <c r="T7" s="24"/>
      <c r="U7" s="24"/>
      <c r="V7" s="24"/>
      <c r="W7" s="24"/>
      <c r="X7" s="24"/>
      <c r="Y7" s="24"/>
      <c r="Z7" s="25" t="n">
        <f aca="false">IFERROR(SUM(R7:Y7),"")</f>
        <v>0</v>
      </c>
    </row>
    <row r="8" customFormat="false" ht="42" hidden="false" customHeight="true" outlineLevel="0" collapsed="false">
      <c r="A8" s="35" t="n">
        <v>4</v>
      </c>
      <c r="B8" s="35" t="s">
        <v>147</v>
      </c>
      <c r="C8" s="35" t="s">
        <v>148</v>
      </c>
      <c r="D8" s="36" t="s">
        <v>84</v>
      </c>
      <c r="E8" s="36" t="s">
        <v>132</v>
      </c>
      <c r="F8" s="36" t="s">
        <v>133</v>
      </c>
      <c r="G8" s="36" t="s">
        <v>134</v>
      </c>
      <c r="H8" s="36" t="n">
        <v>5</v>
      </c>
      <c r="I8" s="36" t="n">
        <v>5</v>
      </c>
      <c r="J8" s="36" t="n">
        <v>4</v>
      </c>
      <c r="K8" s="36" t="n">
        <v>5</v>
      </c>
      <c r="L8" s="36" t="n">
        <f aca="false">IFERROR(H8+I8+J8+K8,"")</f>
        <v>19</v>
      </c>
      <c r="M8" s="36"/>
      <c r="N8" s="36" t="s">
        <v>135</v>
      </c>
      <c r="O8" s="36" t="s">
        <v>149</v>
      </c>
      <c r="P8" s="36" t="s">
        <v>150</v>
      </c>
      <c r="Q8" s="36" t="s">
        <v>138</v>
      </c>
      <c r="R8" s="24"/>
      <c r="S8" s="24"/>
      <c r="T8" s="24"/>
      <c r="U8" s="24"/>
      <c r="V8" s="24"/>
      <c r="W8" s="24"/>
      <c r="X8" s="24"/>
      <c r="Y8" s="24"/>
      <c r="Z8" s="25" t="n">
        <f aca="false">IFERROR(SUM(R8:Y8),"")</f>
        <v>0</v>
      </c>
    </row>
    <row r="9" customFormat="false" ht="42" hidden="false" customHeight="true" outlineLevel="0" collapsed="false">
      <c r="A9" s="37" t="n">
        <v>5</v>
      </c>
      <c r="B9" s="37" t="s">
        <v>151</v>
      </c>
      <c r="C9" s="37" t="s">
        <v>152</v>
      </c>
      <c r="D9" s="38" t="s">
        <v>84</v>
      </c>
      <c r="E9" s="38" t="s">
        <v>153</v>
      </c>
      <c r="F9" s="38" t="s">
        <v>154</v>
      </c>
      <c r="G9" s="38" t="s">
        <v>155</v>
      </c>
      <c r="H9" s="38" t="n">
        <v>5</v>
      </c>
      <c r="I9" s="38" t="n">
        <v>5</v>
      </c>
      <c r="J9" s="38" t="n">
        <v>4</v>
      </c>
      <c r="K9" s="38" t="n">
        <v>5</v>
      </c>
      <c r="L9" s="38" t="n">
        <f aca="false">IFERROR(H9+I9+J9+K9,"")</f>
        <v>19</v>
      </c>
      <c r="M9" s="38"/>
      <c r="N9" s="38" t="s">
        <v>156</v>
      </c>
      <c r="O9" s="38" t="s">
        <v>157</v>
      </c>
      <c r="P9" s="38" t="s">
        <v>158</v>
      </c>
      <c r="Q9" s="38" t="s">
        <v>138</v>
      </c>
      <c r="R9" s="24"/>
      <c r="S9" s="24"/>
      <c r="T9" s="24"/>
      <c r="U9" s="24"/>
      <c r="V9" s="24"/>
      <c r="W9" s="24"/>
      <c r="X9" s="24"/>
      <c r="Y9" s="24"/>
      <c r="Z9" s="25" t="n">
        <f aca="false">IFERROR(SUM(R9:Y9),"")</f>
        <v>0</v>
      </c>
    </row>
    <row r="10" customFormat="false" ht="42" hidden="false" customHeight="true" outlineLevel="0" collapsed="false">
      <c r="A10" s="35" t="n">
        <v>6</v>
      </c>
      <c r="B10" s="35" t="s">
        <v>159</v>
      </c>
      <c r="C10" s="35" t="s">
        <v>160</v>
      </c>
      <c r="D10" s="36" t="s">
        <v>84</v>
      </c>
      <c r="E10" s="36" t="s">
        <v>132</v>
      </c>
      <c r="F10" s="36" t="s">
        <v>133</v>
      </c>
      <c r="G10" s="36" t="s">
        <v>134</v>
      </c>
      <c r="H10" s="36" t="n">
        <v>5</v>
      </c>
      <c r="I10" s="36" t="n">
        <v>5</v>
      </c>
      <c r="J10" s="36" t="n">
        <v>4</v>
      </c>
      <c r="K10" s="36" t="n">
        <v>5</v>
      </c>
      <c r="L10" s="36" t="n">
        <f aca="false">IFERROR(H10+I10+J10+K10,"")</f>
        <v>19</v>
      </c>
      <c r="M10" s="36"/>
      <c r="N10" s="36" t="s">
        <v>135</v>
      </c>
      <c r="O10" s="36" t="s">
        <v>161</v>
      </c>
      <c r="P10" s="36" t="s">
        <v>162</v>
      </c>
      <c r="Q10" s="36" t="s">
        <v>138</v>
      </c>
      <c r="R10" s="24"/>
      <c r="S10" s="24"/>
      <c r="T10" s="24"/>
      <c r="U10" s="24"/>
      <c r="V10" s="24"/>
      <c r="W10" s="24"/>
      <c r="X10" s="24"/>
      <c r="Y10" s="24"/>
      <c r="Z10" s="25" t="n">
        <f aca="false">IFERROR(SUM(R10:Y10),"")</f>
        <v>0</v>
      </c>
    </row>
    <row r="11" customFormat="false" ht="42" hidden="false" customHeight="true" outlineLevel="0" collapsed="false">
      <c r="A11" s="39" t="n">
        <v>7</v>
      </c>
      <c r="B11" s="39" t="s">
        <v>163</v>
      </c>
      <c r="C11" s="39" t="s">
        <v>164</v>
      </c>
      <c r="D11" s="40" t="s">
        <v>84</v>
      </c>
      <c r="E11" s="40" t="s">
        <v>165</v>
      </c>
      <c r="F11" s="40" t="s">
        <v>166</v>
      </c>
      <c r="G11" s="40" t="s">
        <v>167</v>
      </c>
      <c r="H11" s="40" t="n">
        <v>5</v>
      </c>
      <c r="I11" s="40" t="n">
        <v>5</v>
      </c>
      <c r="J11" s="40" t="n">
        <v>4</v>
      </c>
      <c r="K11" s="40" t="n">
        <v>5</v>
      </c>
      <c r="L11" s="40" t="n">
        <f aca="false">IFERROR(H11+I11+J11+K11,"")</f>
        <v>19</v>
      </c>
      <c r="M11" s="40"/>
      <c r="N11" s="40" t="s">
        <v>168</v>
      </c>
      <c r="O11" s="40" t="s">
        <v>169</v>
      </c>
      <c r="P11" s="40" t="s">
        <v>170</v>
      </c>
      <c r="Q11" s="40" t="s">
        <v>138</v>
      </c>
      <c r="R11" s="24"/>
      <c r="S11" s="24"/>
      <c r="T11" s="24"/>
      <c r="U11" s="24"/>
      <c r="V11" s="24"/>
      <c r="W11" s="24"/>
      <c r="X11" s="24"/>
      <c r="Y11" s="24"/>
      <c r="Z11" s="25" t="n">
        <f aca="false">IFERROR(SUM(R11:Y11),"")</f>
        <v>0</v>
      </c>
    </row>
    <row r="12" customFormat="false" ht="42" hidden="false" customHeight="true" outlineLevel="0" collapsed="false">
      <c r="A12" s="39" t="n">
        <v>8</v>
      </c>
      <c r="B12" s="39" t="s">
        <v>171</v>
      </c>
      <c r="C12" s="39" t="s">
        <v>172</v>
      </c>
      <c r="D12" s="40" t="s">
        <v>84</v>
      </c>
      <c r="E12" s="40" t="s">
        <v>165</v>
      </c>
      <c r="F12" s="40" t="s">
        <v>166</v>
      </c>
      <c r="G12" s="40" t="s">
        <v>167</v>
      </c>
      <c r="H12" s="40" t="n">
        <v>5</v>
      </c>
      <c r="I12" s="40" t="n">
        <v>5</v>
      </c>
      <c r="J12" s="40" t="n">
        <v>4</v>
      </c>
      <c r="K12" s="40" t="n">
        <v>5</v>
      </c>
      <c r="L12" s="40" t="n">
        <f aca="false">IFERROR(H12+I12+J12+K12,"")</f>
        <v>19</v>
      </c>
      <c r="M12" s="40"/>
      <c r="N12" s="40" t="s">
        <v>168</v>
      </c>
      <c r="O12" s="40" t="s">
        <v>173</v>
      </c>
      <c r="P12" s="40" t="s">
        <v>174</v>
      </c>
      <c r="Q12" s="40" t="s">
        <v>138</v>
      </c>
      <c r="R12" s="24"/>
      <c r="S12" s="24"/>
      <c r="T12" s="24"/>
      <c r="U12" s="24"/>
      <c r="V12" s="24"/>
      <c r="W12" s="24"/>
      <c r="X12" s="24"/>
      <c r="Y12" s="24"/>
      <c r="Z12" s="25" t="n">
        <f aca="false">IFERROR(SUM(R12:Y12),"")</f>
        <v>0</v>
      </c>
    </row>
    <row r="13" customFormat="false" ht="42" hidden="false" customHeight="true" outlineLevel="0" collapsed="false">
      <c r="A13" s="39" t="n">
        <v>9</v>
      </c>
      <c r="B13" s="39" t="s">
        <v>175</v>
      </c>
      <c r="C13" s="39" t="s">
        <v>176</v>
      </c>
      <c r="D13" s="40" t="s">
        <v>84</v>
      </c>
      <c r="E13" s="40" t="s">
        <v>165</v>
      </c>
      <c r="F13" s="40" t="s">
        <v>166</v>
      </c>
      <c r="G13" s="40" t="s">
        <v>167</v>
      </c>
      <c r="H13" s="40" t="n">
        <v>5</v>
      </c>
      <c r="I13" s="40" t="n">
        <v>5</v>
      </c>
      <c r="J13" s="40" t="n">
        <v>4</v>
      </c>
      <c r="K13" s="40" t="n">
        <v>5</v>
      </c>
      <c r="L13" s="40" t="n">
        <f aca="false">IFERROR(H13+I13+J13+K13,"")</f>
        <v>19</v>
      </c>
      <c r="M13" s="40"/>
      <c r="N13" s="40" t="s">
        <v>168</v>
      </c>
      <c r="O13" s="40" t="s">
        <v>177</v>
      </c>
      <c r="P13" s="40" t="s">
        <v>178</v>
      </c>
      <c r="Q13" s="40" t="s">
        <v>138</v>
      </c>
      <c r="R13" s="24"/>
      <c r="S13" s="24"/>
      <c r="T13" s="24"/>
      <c r="U13" s="24"/>
      <c r="V13" s="24"/>
      <c r="W13" s="24"/>
      <c r="X13" s="24"/>
      <c r="Y13" s="24"/>
      <c r="Z13" s="25" t="n">
        <f aca="false">IFERROR(SUM(R13:Y13),"")</f>
        <v>0</v>
      </c>
    </row>
    <row r="14" customFormat="false" ht="42" hidden="false" customHeight="true" outlineLevel="0" collapsed="false">
      <c r="A14" s="39" t="n">
        <v>10</v>
      </c>
      <c r="B14" s="39" t="s">
        <v>179</v>
      </c>
      <c r="C14" s="39" t="s">
        <v>180</v>
      </c>
      <c r="D14" s="40" t="s">
        <v>84</v>
      </c>
      <c r="E14" s="40" t="s">
        <v>165</v>
      </c>
      <c r="F14" s="40" t="s">
        <v>166</v>
      </c>
      <c r="G14" s="40" t="s">
        <v>167</v>
      </c>
      <c r="H14" s="40" t="n">
        <v>5</v>
      </c>
      <c r="I14" s="40" t="n">
        <v>5</v>
      </c>
      <c r="J14" s="40" t="n">
        <v>4</v>
      </c>
      <c r="K14" s="40" t="n">
        <v>5</v>
      </c>
      <c r="L14" s="40" t="n">
        <f aca="false">IFERROR(H14+I14+J14+K14,"")</f>
        <v>19</v>
      </c>
      <c r="M14" s="40"/>
      <c r="N14" s="40" t="s">
        <v>168</v>
      </c>
      <c r="O14" s="40" t="s">
        <v>181</v>
      </c>
      <c r="P14" s="40" t="s">
        <v>182</v>
      </c>
      <c r="Q14" s="40" t="s">
        <v>138</v>
      </c>
      <c r="R14" s="24"/>
      <c r="S14" s="24"/>
      <c r="T14" s="24"/>
      <c r="U14" s="24"/>
      <c r="V14" s="24"/>
      <c r="W14" s="24"/>
      <c r="X14" s="24"/>
      <c r="Y14" s="24"/>
      <c r="Z14" s="25" t="n">
        <f aca="false">IFERROR(SUM(R14:Y14),"")</f>
        <v>0</v>
      </c>
    </row>
    <row r="15" customFormat="false" ht="42" hidden="false" customHeight="true" outlineLevel="0" collapsed="false">
      <c r="A15" s="35" t="n">
        <v>11</v>
      </c>
      <c r="B15" s="35" t="s">
        <v>183</v>
      </c>
      <c r="C15" s="35" t="s">
        <v>184</v>
      </c>
      <c r="D15" s="36" t="s">
        <v>84</v>
      </c>
      <c r="E15" s="36" t="s">
        <v>132</v>
      </c>
      <c r="F15" s="36" t="s">
        <v>133</v>
      </c>
      <c r="G15" s="36" t="s">
        <v>134</v>
      </c>
      <c r="H15" s="36" t="n">
        <v>5</v>
      </c>
      <c r="I15" s="36" t="n">
        <v>5</v>
      </c>
      <c r="J15" s="36" t="n">
        <v>4</v>
      </c>
      <c r="K15" s="36" t="n">
        <v>5</v>
      </c>
      <c r="L15" s="36" t="n">
        <f aca="false">IFERROR(H15+I15+J15+K15,"")</f>
        <v>19</v>
      </c>
      <c r="M15" s="36"/>
      <c r="N15" s="36" t="s">
        <v>135</v>
      </c>
      <c r="O15" s="36" t="s">
        <v>185</v>
      </c>
      <c r="P15" s="36" t="s">
        <v>186</v>
      </c>
      <c r="Q15" s="36" t="s">
        <v>138</v>
      </c>
      <c r="R15" s="24"/>
      <c r="S15" s="24"/>
      <c r="T15" s="24"/>
      <c r="U15" s="24"/>
      <c r="V15" s="24"/>
      <c r="W15" s="24"/>
      <c r="X15" s="24"/>
      <c r="Y15" s="24"/>
      <c r="Z15" s="25" t="n">
        <f aca="false">IFERROR(SUM(R15:Y15),"")</f>
        <v>0</v>
      </c>
    </row>
    <row r="16" customFormat="false" ht="42" hidden="false" customHeight="true" outlineLevel="0" collapsed="false">
      <c r="A16" s="39" t="n">
        <v>12</v>
      </c>
      <c r="B16" s="39" t="s">
        <v>187</v>
      </c>
      <c r="C16" s="39" t="s">
        <v>188</v>
      </c>
      <c r="D16" s="40" t="s">
        <v>84</v>
      </c>
      <c r="E16" s="40" t="s">
        <v>165</v>
      </c>
      <c r="F16" s="40" t="s">
        <v>166</v>
      </c>
      <c r="G16" s="40" t="s">
        <v>167</v>
      </c>
      <c r="H16" s="40" t="n">
        <v>5</v>
      </c>
      <c r="I16" s="40" t="n">
        <v>5</v>
      </c>
      <c r="J16" s="40" t="n">
        <v>4</v>
      </c>
      <c r="K16" s="40" t="n">
        <v>5</v>
      </c>
      <c r="L16" s="40" t="n">
        <f aca="false">IFERROR(H16+I16+J16+K16,"")</f>
        <v>19</v>
      </c>
      <c r="M16" s="40"/>
      <c r="N16" s="40" t="s">
        <v>168</v>
      </c>
      <c r="O16" s="40" t="s">
        <v>189</v>
      </c>
      <c r="P16" s="40" t="s">
        <v>190</v>
      </c>
      <c r="Q16" s="40" t="s">
        <v>138</v>
      </c>
      <c r="R16" s="24"/>
      <c r="S16" s="24"/>
      <c r="T16" s="24"/>
      <c r="U16" s="24"/>
      <c r="V16" s="24"/>
      <c r="W16" s="24"/>
      <c r="X16" s="24"/>
      <c r="Y16" s="24"/>
      <c r="Z16" s="25" t="n">
        <f aca="false">IFERROR(SUM(R16:Y16),"")</f>
        <v>0</v>
      </c>
    </row>
    <row r="17" customFormat="false" ht="42" hidden="false" customHeight="true" outlineLevel="0" collapsed="false">
      <c r="A17" s="39" t="n">
        <v>13</v>
      </c>
      <c r="B17" s="39" t="s">
        <v>191</v>
      </c>
      <c r="C17" s="39" t="s">
        <v>192</v>
      </c>
      <c r="D17" s="40" t="s">
        <v>84</v>
      </c>
      <c r="E17" s="40" t="s">
        <v>165</v>
      </c>
      <c r="F17" s="40" t="s">
        <v>166</v>
      </c>
      <c r="G17" s="40" t="s">
        <v>167</v>
      </c>
      <c r="H17" s="40" t="n">
        <v>5</v>
      </c>
      <c r="I17" s="40" t="n">
        <v>5</v>
      </c>
      <c r="J17" s="40" t="n">
        <v>4</v>
      </c>
      <c r="K17" s="40" t="n">
        <v>5</v>
      </c>
      <c r="L17" s="40" t="n">
        <f aca="false">IFERROR(H17+I17+J17+K17,"")</f>
        <v>19</v>
      </c>
      <c r="M17" s="40"/>
      <c r="N17" s="40" t="s">
        <v>168</v>
      </c>
      <c r="O17" s="40" t="s">
        <v>193</v>
      </c>
      <c r="P17" s="40" t="s">
        <v>194</v>
      </c>
      <c r="Q17" s="40" t="s">
        <v>138</v>
      </c>
      <c r="R17" s="24"/>
      <c r="S17" s="24"/>
      <c r="T17" s="24"/>
      <c r="U17" s="24"/>
      <c r="V17" s="24"/>
      <c r="W17" s="24"/>
      <c r="X17" s="24"/>
      <c r="Y17" s="24"/>
      <c r="Z17" s="25" t="n">
        <f aca="false">IFERROR(SUM(R17:Y17),"")</f>
        <v>0</v>
      </c>
    </row>
    <row r="18" customFormat="false" ht="42" hidden="false" customHeight="true" outlineLevel="0" collapsed="false">
      <c r="A18" s="37" t="n">
        <v>14</v>
      </c>
      <c r="B18" s="37" t="s">
        <v>195</v>
      </c>
      <c r="C18" s="37" t="s">
        <v>196</v>
      </c>
      <c r="D18" s="38" t="s">
        <v>84</v>
      </c>
      <c r="E18" s="38" t="s">
        <v>153</v>
      </c>
      <c r="F18" s="38" t="s">
        <v>154</v>
      </c>
      <c r="G18" s="38" t="s">
        <v>155</v>
      </c>
      <c r="H18" s="38" t="n">
        <v>5</v>
      </c>
      <c r="I18" s="38" t="n">
        <v>5</v>
      </c>
      <c r="J18" s="38" t="n">
        <v>4</v>
      </c>
      <c r="K18" s="38" t="n">
        <v>5</v>
      </c>
      <c r="L18" s="38" t="n">
        <f aca="false">IFERROR(H18+I18+J18+K18,"")</f>
        <v>19</v>
      </c>
      <c r="M18" s="38"/>
      <c r="N18" s="38" t="s">
        <v>156</v>
      </c>
      <c r="O18" s="38" t="s">
        <v>197</v>
      </c>
      <c r="P18" s="38" t="s">
        <v>198</v>
      </c>
      <c r="Q18" s="38" t="s">
        <v>138</v>
      </c>
      <c r="R18" s="24"/>
      <c r="S18" s="24"/>
      <c r="T18" s="24"/>
      <c r="U18" s="24"/>
      <c r="V18" s="24"/>
      <c r="W18" s="24"/>
      <c r="X18" s="24"/>
      <c r="Y18" s="24"/>
      <c r="Z18" s="25" t="n">
        <f aca="false">IFERROR(SUM(R18:Y18),"")</f>
        <v>0</v>
      </c>
    </row>
    <row r="19" customFormat="false" ht="42" hidden="false" customHeight="true" outlineLevel="0" collapsed="false">
      <c r="A19" s="39" t="n">
        <v>15</v>
      </c>
      <c r="B19" s="39" t="s">
        <v>199</v>
      </c>
      <c r="C19" s="39" t="s">
        <v>200</v>
      </c>
      <c r="D19" s="40" t="s">
        <v>84</v>
      </c>
      <c r="E19" s="40" t="s">
        <v>165</v>
      </c>
      <c r="F19" s="40" t="s">
        <v>166</v>
      </c>
      <c r="G19" s="40" t="s">
        <v>167</v>
      </c>
      <c r="H19" s="40" t="n">
        <v>5</v>
      </c>
      <c r="I19" s="40" t="n">
        <v>5</v>
      </c>
      <c r="J19" s="40" t="n">
        <v>4</v>
      </c>
      <c r="K19" s="40" t="n">
        <v>5</v>
      </c>
      <c r="L19" s="40" t="n">
        <f aca="false">IFERROR(H19+I19+J19+K19,"")</f>
        <v>19</v>
      </c>
      <c r="M19" s="40"/>
      <c r="N19" s="40" t="s">
        <v>168</v>
      </c>
      <c r="O19" s="40" t="s">
        <v>169</v>
      </c>
      <c r="P19" s="40" t="s">
        <v>201</v>
      </c>
      <c r="Q19" s="40" t="s">
        <v>138</v>
      </c>
      <c r="R19" s="24"/>
      <c r="S19" s="24"/>
      <c r="T19" s="24"/>
      <c r="U19" s="24"/>
      <c r="V19" s="24"/>
      <c r="W19" s="24"/>
      <c r="X19" s="24"/>
      <c r="Y19" s="24"/>
      <c r="Z19" s="25" t="n">
        <f aca="false">IFERROR(SUM(R19:Y19),"")</f>
        <v>0</v>
      </c>
    </row>
    <row r="20" customFormat="false" ht="42" hidden="false" customHeight="true" outlineLevel="0" collapsed="false">
      <c r="A20" s="39" t="n">
        <v>16</v>
      </c>
      <c r="B20" s="39" t="s">
        <v>202</v>
      </c>
      <c r="C20" s="39" t="s">
        <v>203</v>
      </c>
      <c r="D20" s="40" t="s">
        <v>84</v>
      </c>
      <c r="E20" s="40" t="s">
        <v>165</v>
      </c>
      <c r="F20" s="40" t="s">
        <v>166</v>
      </c>
      <c r="G20" s="40" t="s">
        <v>167</v>
      </c>
      <c r="H20" s="40" t="n">
        <v>5</v>
      </c>
      <c r="I20" s="40" t="n">
        <v>5</v>
      </c>
      <c r="J20" s="40" t="n">
        <v>4</v>
      </c>
      <c r="K20" s="40" t="n">
        <v>5</v>
      </c>
      <c r="L20" s="40" t="n">
        <f aca="false">IFERROR(H20+I20+J20+K20,"")</f>
        <v>19</v>
      </c>
      <c r="M20" s="40"/>
      <c r="N20" s="40" t="s">
        <v>168</v>
      </c>
      <c r="O20" s="40" t="s">
        <v>204</v>
      </c>
      <c r="P20" s="40" t="s">
        <v>205</v>
      </c>
      <c r="Q20" s="40" t="s">
        <v>138</v>
      </c>
      <c r="R20" s="24"/>
      <c r="S20" s="24"/>
      <c r="T20" s="24"/>
      <c r="U20" s="24"/>
      <c r="V20" s="24"/>
      <c r="W20" s="24"/>
      <c r="X20" s="24"/>
      <c r="Y20" s="24"/>
      <c r="Z20" s="25" t="n">
        <f aca="false">IFERROR(SUM(R20:Y20),"")</f>
        <v>0</v>
      </c>
    </row>
    <row r="21" customFormat="false" ht="42" hidden="false" customHeight="true" outlineLevel="0" collapsed="false">
      <c r="A21" s="35" t="n">
        <v>17</v>
      </c>
      <c r="B21" s="35" t="s">
        <v>206</v>
      </c>
      <c r="C21" s="35" t="s">
        <v>207</v>
      </c>
      <c r="D21" s="36" t="s">
        <v>84</v>
      </c>
      <c r="E21" s="36" t="s">
        <v>132</v>
      </c>
      <c r="F21" s="36" t="s">
        <v>133</v>
      </c>
      <c r="G21" s="36" t="s">
        <v>134</v>
      </c>
      <c r="H21" s="36" t="n">
        <v>5</v>
      </c>
      <c r="I21" s="36" t="n">
        <v>5</v>
      </c>
      <c r="J21" s="36" t="n">
        <v>4</v>
      </c>
      <c r="K21" s="36" t="n">
        <v>5</v>
      </c>
      <c r="L21" s="36" t="n">
        <f aca="false">IFERROR(H21+I21+J21+K21,"")</f>
        <v>19</v>
      </c>
      <c r="M21" s="36"/>
      <c r="N21" s="36" t="s">
        <v>135</v>
      </c>
      <c r="O21" s="36" t="s">
        <v>208</v>
      </c>
      <c r="P21" s="36" t="s">
        <v>209</v>
      </c>
      <c r="Q21" s="36" t="s">
        <v>138</v>
      </c>
      <c r="R21" s="24"/>
      <c r="S21" s="24"/>
      <c r="T21" s="24"/>
      <c r="U21" s="24"/>
      <c r="V21" s="24"/>
      <c r="W21" s="24"/>
      <c r="X21" s="24"/>
      <c r="Y21" s="24"/>
      <c r="Z21" s="25" t="n">
        <f aca="false">IFERROR(SUM(R21:Y21),"")</f>
        <v>0</v>
      </c>
    </row>
    <row r="22" customFormat="false" ht="42" hidden="false" customHeight="true" outlineLevel="0" collapsed="false">
      <c r="A22" s="37" t="n">
        <v>18</v>
      </c>
      <c r="B22" s="37" t="s">
        <v>210</v>
      </c>
      <c r="C22" s="37" t="s">
        <v>211</v>
      </c>
      <c r="D22" s="38" t="s">
        <v>84</v>
      </c>
      <c r="E22" s="38" t="s">
        <v>153</v>
      </c>
      <c r="F22" s="38" t="s">
        <v>154</v>
      </c>
      <c r="G22" s="38" t="s">
        <v>155</v>
      </c>
      <c r="H22" s="38" t="n">
        <v>5</v>
      </c>
      <c r="I22" s="38" t="n">
        <v>5</v>
      </c>
      <c r="J22" s="38" t="n">
        <v>4</v>
      </c>
      <c r="K22" s="38" t="n">
        <v>5</v>
      </c>
      <c r="L22" s="38" t="n">
        <f aca="false">IFERROR(H22+I22+J22+K22,"")</f>
        <v>19</v>
      </c>
      <c r="M22" s="38"/>
      <c r="N22" s="38" t="s">
        <v>156</v>
      </c>
      <c r="O22" s="38" t="s">
        <v>212</v>
      </c>
      <c r="P22" s="38" t="s">
        <v>213</v>
      </c>
      <c r="Q22" s="38" t="s">
        <v>138</v>
      </c>
      <c r="R22" s="24"/>
      <c r="S22" s="24"/>
      <c r="T22" s="24"/>
      <c r="U22" s="24"/>
      <c r="V22" s="24"/>
      <c r="W22" s="24"/>
      <c r="X22" s="24"/>
      <c r="Y22" s="24"/>
      <c r="Z22" s="25" t="n">
        <f aca="false">IFERROR(SUM(R22:Y22),"")</f>
        <v>0</v>
      </c>
    </row>
    <row r="23" customFormat="false" ht="42" hidden="false" customHeight="true" outlineLevel="0" collapsed="false">
      <c r="A23" s="37" t="n">
        <v>19</v>
      </c>
      <c r="B23" s="37" t="s">
        <v>214</v>
      </c>
      <c r="C23" s="37" t="s">
        <v>215</v>
      </c>
      <c r="D23" s="38" t="s">
        <v>84</v>
      </c>
      <c r="E23" s="38" t="s">
        <v>153</v>
      </c>
      <c r="F23" s="38" t="s">
        <v>154</v>
      </c>
      <c r="G23" s="38" t="s">
        <v>155</v>
      </c>
      <c r="H23" s="38" t="n">
        <v>5</v>
      </c>
      <c r="I23" s="38" t="n">
        <v>5</v>
      </c>
      <c r="J23" s="38" t="n">
        <v>4</v>
      </c>
      <c r="K23" s="38" t="n">
        <v>5</v>
      </c>
      <c r="L23" s="38" t="n">
        <f aca="false">IFERROR(H23+I23+J23+K23,"")</f>
        <v>19</v>
      </c>
      <c r="M23" s="38"/>
      <c r="N23" s="38" t="s">
        <v>156</v>
      </c>
      <c r="O23" s="38" t="s">
        <v>216</v>
      </c>
      <c r="P23" s="38" t="s">
        <v>217</v>
      </c>
      <c r="Q23" s="38" t="s">
        <v>138</v>
      </c>
      <c r="R23" s="24"/>
      <c r="S23" s="24"/>
      <c r="T23" s="24"/>
      <c r="U23" s="24"/>
      <c r="V23" s="24"/>
      <c r="W23" s="24"/>
      <c r="X23" s="24"/>
      <c r="Y23" s="24"/>
      <c r="Z23" s="25" t="n">
        <f aca="false">IFERROR(SUM(R23:Y23),"")</f>
        <v>0</v>
      </c>
    </row>
    <row r="24" customFormat="false" ht="42" hidden="false" customHeight="true" outlineLevel="0" collapsed="false">
      <c r="A24" s="35" t="n">
        <v>20</v>
      </c>
      <c r="B24" s="35" t="s">
        <v>218</v>
      </c>
      <c r="C24" s="35" t="s">
        <v>219</v>
      </c>
      <c r="D24" s="36" t="s">
        <v>84</v>
      </c>
      <c r="E24" s="36" t="s">
        <v>132</v>
      </c>
      <c r="F24" s="36" t="s">
        <v>133</v>
      </c>
      <c r="G24" s="36" t="s">
        <v>134</v>
      </c>
      <c r="H24" s="36" t="n">
        <v>5</v>
      </c>
      <c r="I24" s="36" t="n">
        <v>5</v>
      </c>
      <c r="J24" s="36" t="n">
        <v>4</v>
      </c>
      <c r="K24" s="36" t="n">
        <v>5</v>
      </c>
      <c r="L24" s="36" t="n">
        <f aca="false">IFERROR(H24+I24+J24+K24,"")</f>
        <v>19</v>
      </c>
      <c r="M24" s="36"/>
      <c r="N24" s="36" t="s">
        <v>135</v>
      </c>
      <c r="O24" s="36" t="s">
        <v>220</v>
      </c>
      <c r="P24" s="36" t="s">
        <v>221</v>
      </c>
      <c r="Q24" s="36" t="s">
        <v>138</v>
      </c>
      <c r="R24" s="24"/>
      <c r="S24" s="24"/>
      <c r="T24" s="24"/>
      <c r="U24" s="24"/>
      <c r="V24" s="24"/>
      <c r="W24" s="24"/>
      <c r="X24" s="24"/>
      <c r="Y24" s="24"/>
      <c r="Z24" s="25" t="n">
        <f aca="false">IFERROR(SUM(R24:Y24),"")</f>
        <v>0</v>
      </c>
    </row>
    <row r="25" customFormat="false" ht="42" hidden="false" customHeight="true" outlineLevel="0" collapsed="false">
      <c r="A25" s="37" t="n">
        <v>21</v>
      </c>
      <c r="B25" s="37" t="s">
        <v>222</v>
      </c>
      <c r="C25" s="37" t="s">
        <v>223</v>
      </c>
      <c r="D25" s="38" t="s">
        <v>84</v>
      </c>
      <c r="E25" s="38" t="s">
        <v>153</v>
      </c>
      <c r="F25" s="38" t="s">
        <v>154</v>
      </c>
      <c r="G25" s="38" t="s">
        <v>155</v>
      </c>
      <c r="H25" s="38" t="n">
        <v>5</v>
      </c>
      <c r="I25" s="38" t="n">
        <v>5</v>
      </c>
      <c r="J25" s="38" t="n">
        <v>4</v>
      </c>
      <c r="K25" s="38" t="n">
        <v>5</v>
      </c>
      <c r="L25" s="38" t="n">
        <f aca="false">IFERROR(H25+I25+J25+K25,"")</f>
        <v>19</v>
      </c>
      <c r="M25" s="38"/>
      <c r="N25" s="38" t="s">
        <v>156</v>
      </c>
      <c r="O25" s="38" t="s">
        <v>224</v>
      </c>
      <c r="P25" s="38" t="s">
        <v>225</v>
      </c>
      <c r="Q25" s="38" t="s">
        <v>138</v>
      </c>
      <c r="R25" s="24"/>
      <c r="S25" s="24"/>
      <c r="T25" s="24"/>
      <c r="U25" s="24"/>
      <c r="V25" s="24"/>
      <c r="W25" s="24"/>
      <c r="X25" s="24"/>
      <c r="Y25" s="24"/>
      <c r="Z25" s="25" t="n">
        <f aca="false">IFERROR(SUM(R25:Y25),"")</f>
        <v>0</v>
      </c>
    </row>
    <row r="26" customFormat="false" ht="42" hidden="false" customHeight="true" outlineLevel="0" collapsed="false">
      <c r="A26" s="37" t="n">
        <v>22</v>
      </c>
      <c r="B26" s="37" t="s">
        <v>226</v>
      </c>
      <c r="C26" s="37" t="s">
        <v>227</v>
      </c>
      <c r="D26" s="38" t="s">
        <v>84</v>
      </c>
      <c r="E26" s="38" t="s">
        <v>153</v>
      </c>
      <c r="F26" s="38" t="s">
        <v>154</v>
      </c>
      <c r="G26" s="38" t="s">
        <v>155</v>
      </c>
      <c r="H26" s="38" t="n">
        <v>5</v>
      </c>
      <c r="I26" s="38" t="n">
        <v>5</v>
      </c>
      <c r="J26" s="38" t="n">
        <v>4</v>
      </c>
      <c r="K26" s="38" t="n">
        <v>5</v>
      </c>
      <c r="L26" s="38" t="n">
        <f aca="false">IFERROR(H26+I26+J26+K26,"")</f>
        <v>19</v>
      </c>
      <c r="M26" s="38"/>
      <c r="N26" s="38" t="s">
        <v>156</v>
      </c>
      <c r="O26" s="38" t="s">
        <v>228</v>
      </c>
      <c r="P26" s="38" t="s">
        <v>229</v>
      </c>
      <c r="Q26" s="38" t="s">
        <v>138</v>
      </c>
      <c r="R26" s="24"/>
      <c r="S26" s="24"/>
      <c r="T26" s="24"/>
      <c r="U26" s="24"/>
      <c r="V26" s="24"/>
      <c r="W26" s="24"/>
      <c r="X26" s="24"/>
      <c r="Y26" s="24"/>
      <c r="Z26" s="25" t="n">
        <f aca="false">IFERROR(SUM(R26:Y26),"")</f>
        <v>0</v>
      </c>
    </row>
    <row r="27" customFormat="false" ht="42" hidden="false" customHeight="true" outlineLevel="0" collapsed="false">
      <c r="A27" s="39" t="n">
        <v>23</v>
      </c>
      <c r="B27" s="39" t="s">
        <v>230</v>
      </c>
      <c r="C27" s="39" t="s">
        <v>231</v>
      </c>
      <c r="D27" s="40" t="s">
        <v>84</v>
      </c>
      <c r="E27" s="40" t="s">
        <v>165</v>
      </c>
      <c r="F27" s="40" t="s">
        <v>166</v>
      </c>
      <c r="G27" s="40" t="s">
        <v>167</v>
      </c>
      <c r="H27" s="40" t="n">
        <v>5</v>
      </c>
      <c r="I27" s="40" t="n">
        <v>5</v>
      </c>
      <c r="J27" s="40" t="n">
        <v>4</v>
      </c>
      <c r="K27" s="40" t="n">
        <v>5</v>
      </c>
      <c r="L27" s="40" t="n">
        <f aca="false">IFERROR(H27+I27+J27+K27,"")</f>
        <v>19</v>
      </c>
      <c r="M27" s="40"/>
      <c r="N27" s="40" t="s">
        <v>168</v>
      </c>
      <c r="O27" s="40" t="s">
        <v>169</v>
      </c>
      <c r="P27" s="40" t="s">
        <v>232</v>
      </c>
      <c r="Q27" s="40" t="s">
        <v>138</v>
      </c>
      <c r="R27" s="24"/>
      <c r="S27" s="24"/>
      <c r="T27" s="24"/>
      <c r="U27" s="24"/>
      <c r="V27" s="24"/>
      <c r="W27" s="24"/>
      <c r="X27" s="24"/>
      <c r="Y27" s="24"/>
      <c r="Z27" s="25" t="n">
        <f aca="false">IFERROR(SUM(R27:Y27),"")</f>
        <v>0</v>
      </c>
    </row>
    <row r="28" customFormat="false" ht="42" hidden="false" customHeight="true" outlineLevel="0" collapsed="false">
      <c r="A28" s="37" t="n">
        <v>24</v>
      </c>
      <c r="B28" s="37" t="s">
        <v>233</v>
      </c>
      <c r="C28" s="37" t="s">
        <v>234</v>
      </c>
      <c r="D28" s="38" t="s">
        <v>84</v>
      </c>
      <c r="E28" s="38" t="s">
        <v>153</v>
      </c>
      <c r="F28" s="38" t="s">
        <v>154</v>
      </c>
      <c r="G28" s="38" t="s">
        <v>155</v>
      </c>
      <c r="H28" s="38" t="n">
        <v>5</v>
      </c>
      <c r="I28" s="38" t="n">
        <v>5</v>
      </c>
      <c r="J28" s="38" t="n">
        <v>4</v>
      </c>
      <c r="K28" s="38" t="n">
        <v>5</v>
      </c>
      <c r="L28" s="38" t="n">
        <f aca="false">IFERROR(H28+I28+J28+K28,"")</f>
        <v>19</v>
      </c>
      <c r="M28" s="38"/>
      <c r="N28" s="38" t="s">
        <v>156</v>
      </c>
      <c r="O28" s="38" t="s">
        <v>235</v>
      </c>
      <c r="P28" s="38" t="s">
        <v>236</v>
      </c>
      <c r="Q28" s="38" t="s">
        <v>138</v>
      </c>
      <c r="R28" s="24"/>
      <c r="S28" s="24"/>
      <c r="T28" s="24"/>
      <c r="U28" s="24"/>
      <c r="V28" s="24"/>
      <c r="W28" s="24"/>
      <c r="X28" s="24"/>
      <c r="Y28" s="24"/>
      <c r="Z28" s="25" t="n">
        <f aca="false">IFERROR(SUM(R28:Y28),"")</f>
        <v>0</v>
      </c>
    </row>
    <row r="29" customFormat="false" ht="42" hidden="false" customHeight="true" outlineLevel="0" collapsed="false">
      <c r="A29" s="37" t="n">
        <v>25</v>
      </c>
      <c r="B29" s="37" t="s">
        <v>237</v>
      </c>
      <c r="C29" s="37" t="s">
        <v>238</v>
      </c>
      <c r="D29" s="38" t="s">
        <v>84</v>
      </c>
      <c r="E29" s="38" t="s">
        <v>153</v>
      </c>
      <c r="F29" s="38" t="s">
        <v>154</v>
      </c>
      <c r="G29" s="38" t="s">
        <v>155</v>
      </c>
      <c r="H29" s="38" t="n">
        <v>5</v>
      </c>
      <c r="I29" s="38" t="n">
        <v>5</v>
      </c>
      <c r="J29" s="38" t="n">
        <v>4</v>
      </c>
      <c r="K29" s="38" t="n">
        <v>5</v>
      </c>
      <c r="L29" s="38" t="n">
        <f aca="false">IFERROR(H29+I29+J29+K29,"")</f>
        <v>19</v>
      </c>
      <c r="M29" s="38"/>
      <c r="N29" s="38" t="s">
        <v>156</v>
      </c>
      <c r="O29" s="38" t="s">
        <v>239</v>
      </c>
      <c r="P29" s="38" t="s">
        <v>240</v>
      </c>
      <c r="Q29" s="38" t="s">
        <v>138</v>
      </c>
      <c r="R29" s="24"/>
      <c r="S29" s="24"/>
      <c r="T29" s="24"/>
      <c r="U29" s="24"/>
      <c r="V29" s="24"/>
      <c r="W29" s="24"/>
      <c r="X29" s="24"/>
      <c r="Y29" s="24"/>
      <c r="Z29" s="25" t="n">
        <f aca="false">IFERROR(SUM(R29:Y29),"")</f>
        <v>0</v>
      </c>
    </row>
    <row r="30" customFormat="false" ht="42" hidden="false" customHeight="true" outlineLevel="0" collapsed="false">
      <c r="A30" s="37" t="n">
        <v>26</v>
      </c>
      <c r="B30" s="37" t="s">
        <v>241</v>
      </c>
      <c r="C30" s="37" t="s">
        <v>242</v>
      </c>
      <c r="D30" s="38" t="s">
        <v>84</v>
      </c>
      <c r="E30" s="38" t="s">
        <v>153</v>
      </c>
      <c r="F30" s="38" t="s">
        <v>154</v>
      </c>
      <c r="G30" s="38" t="s">
        <v>155</v>
      </c>
      <c r="H30" s="38" t="n">
        <v>5</v>
      </c>
      <c r="I30" s="38" t="n">
        <v>5</v>
      </c>
      <c r="J30" s="38" t="n">
        <v>4</v>
      </c>
      <c r="K30" s="38" t="n">
        <v>5</v>
      </c>
      <c r="L30" s="38" t="n">
        <f aca="false">IFERROR(H30+I30+J30+K30,"")</f>
        <v>19</v>
      </c>
      <c r="M30" s="38"/>
      <c r="N30" s="38" t="s">
        <v>156</v>
      </c>
      <c r="O30" s="38" t="s">
        <v>243</v>
      </c>
      <c r="P30" s="38" t="s">
        <v>244</v>
      </c>
      <c r="Q30" s="38" t="s">
        <v>138</v>
      </c>
      <c r="R30" s="24"/>
      <c r="S30" s="24"/>
      <c r="T30" s="24"/>
      <c r="U30" s="24"/>
      <c r="V30" s="24"/>
      <c r="W30" s="24"/>
      <c r="X30" s="24"/>
      <c r="Y30" s="24"/>
      <c r="Z30" s="25" t="n">
        <f aca="false">IFERROR(SUM(R30:Y30),"")</f>
        <v>0</v>
      </c>
    </row>
    <row r="31" customFormat="false" ht="42" hidden="false" customHeight="true" outlineLevel="0" collapsed="false">
      <c r="A31" s="37" t="n">
        <v>27</v>
      </c>
      <c r="B31" s="37" t="s">
        <v>245</v>
      </c>
      <c r="C31" s="37" t="s">
        <v>246</v>
      </c>
      <c r="D31" s="38" t="s">
        <v>84</v>
      </c>
      <c r="E31" s="38" t="s">
        <v>153</v>
      </c>
      <c r="F31" s="38" t="s">
        <v>154</v>
      </c>
      <c r="G31" s="38" t="s">
        <v>155</v>
      </c>
      <c r="H31" s="38" t="n">
        <v>5</v>
      </c>
      <c r="I31" s="38" t="n">
        <v>5</v>
      </c>
      <c r="J31" s="38" t="n">
        <v>4</v>
      </c>
      <c r="K31" s="38" t="n">
        <v>5</v>
      </c>
      <c r="L31" s="38" t="n">
        <f aca="false">IFERROR(H31+I31+J31+K31,"")</f>
        <v>19</v>
      </c>
      <c r="M31" s="38"/>
      <c r="N31" s="38" t="s">
        <v>156</v>
      </c>
      <c r="O31" s="38" t="s">
        <v>247</v>
      </c>
      <c r="P31" s="38" t="s">
        <v>248</v>
      </c>
      <c r="Q31" s="38" t="s">
        <v>138</v>
      </c>
      <c r="R31" s="24"/>
      <c r="S31" s="24"/>
      <c r="T31" s="24"/>
      <c r="U31" s="24"/>
      <c r="V31" s="24"/>
      <c r="W31" s="24"/>
      <c r="X31" s="24"/>
      <c r="Y31" s="24"/>
      <c r="Z31" s="25" t="n">
        <f aca="false">IFERROR(SUM(R31:Y31),"")</f>
        <v>0</v>
      </c>
    </row>
    <row r="32" customFormat="false" ht="42" hidden="false" customHeight="true" outlineLevel="0" collapsed="false">
      <c r="A32" s="37" t="n">
        <v>28</v>
      </c>
      <c r="B32" s="37" t="s">
        <v>249</v>
      </c>
      <c r="C32" s="37" t="s">
        <v>250</v>
      </c>
      <c r="D32" s="38" t="s">
        <v>84</v>
      </c>
      <c r="E32" s="38" t="s">
        <v>153</v>
      </c>
      <c r="F32" s="38" t="s">
        <v>154</v>
      </c>
      <c r="G32" s="38" t="s">
        <v>155</v>
      </c>
      <c r="H32" s="38" t="n">
        <v>5</v>
      </c>
      <c r="I32" s="38" t="n">
        <v>5</v>
      </c>
      <c r="J32" s="38" t="n">
        <v>4</v>
      </c>
      <c r="K32" s="38" t="n">
        <v>5</v>
      </c>
      <c r="L32" s="38" t="n">
        <f aca="false">IFERROR(H32+I32+J32+K32,"")</f>
        <v>19</v>
      </c>
      <c r="M32" s="38"/>
      <c r="N32" s="38" t="s">
        <v>156</v>
      </c>
      <c r="O32" s="38" t="s">
        <v>251</v>
      </c>
      <c r="P32" s="38" t="s">
        <v>252</v>
      </c>
      <c r="Q32" s="38" t="s">
        <v>138</v>
      </c>
      <c r="R32" s="24"/>
      <c r="S32" s="24"/>
      <c r="T32" s="24"/>
      <c r="U32" s="24"/>
      <c r="V32" s="24"/>
      <c r="W32" s="24"/>
      <c r="X32" s="24"/>
      <c r="Y32" s="24"/>
      <c r="Z32" s="25" t="n">
        <f aca="false">IFERROR(SUM(R32:Y32),"")</f>
        <v>0</v>
      </c>
    </row>
    <row r="33" customFormat="false" ht="42" hidden="false" customHeight="true" outlineLevel="0" collapsed="false">
      <c r="A33" s="37" t="n">
        <v>29</v>
      </c>
      <c r="B33" s="37" t="s">
        <v>253</v>
      </c>
      <c r="C33" s="37" t="s">
        <v>254</v>
      </c>
      <c r="D33" s="38" t="s">
        <v>84</v>
      </c>
      <c r="E33" s="38" t="s">
        <v>153</v>
      </c>
      <c r="F33" s="38" t="s">
        <v>154</v>
      </c>
      <c r="G33" s="38" t="s">
        <v>155</v>
      </c>
      <c r="H33" s="38" t="n">
        <v>5</v>
      </c>
      <c r="I33" s="38" t="n">
        <v>5</v>
      </c>
      <c r="J33" s="38" t="n">
        <v>4</v>
      </c>
      <c r="K33" s="38" t="n">
        <v>5</v>
      </c>
      <c r="L33" s="38" t="n">
        <f aca="false">IFERROR(H33+I33+J33+K33,"")</f>
        <v>19</v>
      </c>
      <c r="M33" s="38"/>
      <c r="N33" s="38" t="s">
        <v>156</v>
      </c>
      <c r="O33" s="38" t="s">
        <v>255</v>
      </c>
      <c r="P33" s="38" t="s">
        <v>256</v>
      </c>
      <c r="Q33" s="38" t="s">
        <v>138</v>
      </c>
      <c r="R33" s="24"/>
      <c r="S33" s="24"/>
      <c r="T33" s="24"/>
      <c r="U33" s="24"/>
      <c r="V33" s="24"/>
      <c r="W33" s="24"/>
      <c r="X33" s="24"/>
      <c r="Y33" s="24"/>
      <c r="Z33" s="25" t="n">
        <f aca="false">IFERROR(SUM(R33:Y33),"")</f>
        <v>0</v>
      </c>
    </row>
    <row r="34" customFormat="false" ht="42" hidden="false" customHeight="true" outlineLevel="0" collapsed="false">
      <c r="A34" s="35" t="n">
        <v>30</v>
      </c>
      <c r="B34" s="35" t="s">
        <v>257</v>
      </c>
      <c r="C34" s="35" t="s">
        <v>258</v>
      </c>
      <c r="D34" s="36" t="s">
        <v>84</v>
      </c>
      <c r="E34" s="36" t="s">
        <v>132</v>
      </c>
      <c r="F34" s="36" t="s">
        <v>133</v>
      </c>
      <c r="G34" s="36" t="s">
        <v>134</v>
      </c>
      <c r="H34" s="36" t="n">
        <v>5</v>
      </c>
      <c r="I34" s="36" t="n">
        <v>5</v>
      </c>
      <c r="J34" s="36" t="n">
        <v>4</v>
      </c>
      <c r="K34" s="36" t="n">
        <v>5</v>
      </c>
      <c r="L34" s="36" t="n">
        <f aca="false">IFERROR(H34+I34+J34+K34,"")</f>
        <v>19</v>
      </c>
      <c r="M34" s="36"/>
      <c r="N34" s="36" t="s">
        <v>135</v>
      </c>
      <c r="O34" s="36" t="s">
        <v>259</v>
      </c>
      <c r="P34" s="36" t="s">
        <v>260</v>
      </c>
      <c r="Q34" s="36" t="s">
        <v>138</v>
      </c>
      <c r="R34" s="24"/>
      <c r="S34" s="24"/>
      <c r="T34" s="24"/>
      <c r="U34" s="24"/>
      <c r="V34" s="24"/>
      <c r="W34" s="24"/>
      <c r="X34" s="24"/>
      <c r="Y34" s="24"/>
      <c r="Z34" s="25" t="n">
        <f aca="false">IFERROR(SUM(R34:Y34),"")</f>
        <v>0</v>
      </c>
    </row>
    <row r="35" customFormat="false" ht="42" hidden="false" customHeight="true" outlineLevel="0" collapsed="false">
      <c r="A35" s="35" t="n">
        <v>31</v>
      </c>
      <c r="B35" s="35" t="s">
        <v>261</v>
      </c>
      <c r="C35" s="35" t="s">
        <v>262</v>
      </c>
      <c r="D35" s="36" t="s">
        <v>84</v>
      </c>
      <c r="E35" s="36" t="s">
        <v>132</v>
      </c>
      <c r="F35" s="36" t="s">
        <v>133</v>
      </c>
      <c r="G35" s="36" t="s">
        <v>134</v>
      </c>
      <c r="H35" s="36" t="n">
        <v>5</v>
      </c>
      <c r="I35" s="36" t="n">
        <v>5</v>
      </c>
      <c r="J35" s="36" t="n">
        <v>4</v>
      </c>
      <c r="K35" s="36" t="n">
        <v>5</v>
      </c>
      <c r="L35" s="36" t="n">
        <f aca="false">IFERROR(H35+I35+J35+K35,"")</f>
        <v>19</v>
      </c>
      <c r="M35" s="36"/>
      <c r="N35" s="36" t="s">
        <v>135</v>
      </c>
      <c r="O35" s="36" t="s">
        <v>263</v>
      </c>
      <c r="P35" s="36" t="s">
        <v>264</v>
      </c>
      <c r="Q35" s="36" t="s">
        <v>138</v>
      </c>
      <c r="R35" s="24"/>
      <c r="S35" s="24"/>
      <c r="T35" s="24"/>
      <c r="U35" s="24"/>
      <c r="V35" s="24"/>
      <c r="W35" s="24"/>
      <c r="X35" s="24"/>
      <c r="Y35" s="24"/>
      <c r="Z35" s="25" t="n">
        <f aca="false">IFERROR(SUM(R35:Y35),"")</f>
        <v>0</v>
      </c>
    </row>
    <row r="36" customFormat="false" ht="42" hidden="false" customHeight="true" outlineLevel="0" collapsed="false">
      <c r="A36" s="37" t="n">
        <v>32</v>
      </c>
      <c r="B36" s="37" t="s">
        <v>265</v>
      </c>
      <c r="C36" s="37" t="s">
        <v>266</v>
      </c>
      <c r="D36" s="38" t="s">
        <v>84</v>
      </c>
      <c r="E36" s="38" t="s">
        <v>153</v>
      </c>
      <c r="F36" s="38" t="s">
        <v>154</v>
      </c>
      <c r="G36" s="38" t="s">
        <v>155</v>
      </c>
      <c r="H36" s="38" t="n">
        <v>5</v>
      </c>
      <c r="I36" s="38" t="n">
        <v>5</v>
      </c>
      <c r="J36" s="38" t="n">
        <v>4</v>
      </c>
      <c r="K36" s="38" t="n">
        <v>5</v>
      </c>
      <c r="L36" s="38" t="n">
        <f aca="false">IFERROR(H36+I36+J36+K36,"")</f>
        <v>19</v>
      </c>
      <c r="M36" s="38"/>
      <c r="N36" s="38" t="s">
        <v>156</v>
      </c>
      <c r="O36" s="38" t="s">
        <v>267</v>
      </c>
      <c r="P36" s="38" t="s">
        <v>268</v>
      </c>
      <c r="Q36" s="38" t="s">
        <v>138</v>
      </c>
      <c r="R36" s="24"/>
      <c r="S36" s="24"/>
      <c r="T36" s="24"/>
      <c r="U36" s="24"/>
      <c r="V36" s="24"/>
      <c r="W36" s="24"/>
      <c r="X36" s="24"/>
      <c r="Y36" s="24"/>
      <c r="Z36" s="25" t="n">
        <f aca="false">IFERROR(SUM(R36:Y36),"")</f>
        <v>0</v>
      </c>
    </row>
    <row r="37" customFormat="false" ht="42" hidden="false" customHeight="true" outlineLevel="0" collapsed="false">
      <c r="A37" s="35" t="n">
        <v>33</v>
      </c>
      <c r="B37" s="35" t="s">
        <v>269</v>
      </c>
      <c r="C37" s="35" t="s">
        <v>270</v>
      </c>
      <c r="D37" s="36" t="s">
        <v>23</v>
      </c>
      <c r="E37" s="36" t="s">
        <v>132</v>
      </c>
      <c r="F37" s="36" t="s">
        <v>133</v>
      </c>
      <c r="G37" s="36" t="s">
        <v>134</v>
      </c>
      <c r="H37" s="36" t="n">
        <v>5</v>
      </c>
      <c r="I37" s="36" t="n">
        <v>5</v>
      </c>
      <c r="J37" s="36" t="n">
        <v>4</v>
      </c>
      <c r="K37" s="36" t="n">
        <v>5</v>
      </c>
      <c r="L37" s="36" t="n">
        <f aca="false">IFERROR(H37+I37+J37+K37,"")</f>
        <v>19</v>
      </c>
      <c r="M37" s="36"/>
      <c r="N37" s="36" t="s">
        <v>135</v>
      </c>
      <c r="O37" s="36" t="s">
        <v>271</v>
      </c>
      <c r="P37" s="36" t="s">
        <v>272</v>
      </c>
      <c r="Q37" s="36" t="s">
        <v>138</v>
      </c>
      <c r="R37" s="24"/>
      <c r="S37" s="24"/>
      <c r="T37" s="24"/>
      <c r="U37" s="24"/>
      <c r="V37" s="24"/>
      <c r="W37" s="24"/>
      <c r="X37" s="24"/>
      <c r="Y37" s="24"/>
      <c r="Z37" s="25" t="n">
        <f aca="false">IFERROR(SUM(R37:Y37),"")</f>
        <v>0</v>
      </c>
    </row>
    <row r="38" customFormat="false" ht="42" hidden="false" customHeight="true" outlineLevel="0" collapsed="false">
      <c r="A38" s="37" t="n">
        <v>34</v>
      </c>
      <c r="B38" s="37" t="s">
        <v>273</v>
      </c>
      <c r="C38" s="37" t="s">
        <v>274</v>
      </c>
      <c r="D38" s="38" t="s">
        <v>23</v>
      </c>
      <c r="E38" s="38" t="s">
        <v>153</v>
      </c>
      <c r="F38" s="38" t="s">
        <v>154</v>
      </c>
      <c r="G38" s="38" t="s">
        <v>155</v>
      </c>
      <c r="H38" s="38" t="n">
        <v>5</v>
      </c>
      <c r="I38" s="38" t="n">
        <v>5</v>
      </c>
      <c r="J38" s="38" t="n">
        <v>4</v>
      </c>
      <c r="K38" s="38" t="n">
        <v>5</v>
      </c>
      <c r="L38" s="38" t="n">
        <f aca="false">IFERROR(H38+I38+J38+K38,"")</f>
        <v>19</v>
      </c>
      <c r="M38" s="38"/>
      <c r="N38" s="38" t="s">
        <v>156</v>
      </c>
      <c r="O38" s="38" t="s">
        <v>275</v>
      </c>
      <c r="P38" s="38" t="s">
        <v>276</v>
      </c>
      <c r="Q38" s="38" t="s">
        <v>138</v>
      </c>
      <c r="R38" s="24"/>
      <c r="S38" s="24"/>
      <c r="T38" s="24"/>
      <c r="U38" s="24"/>
      <c r="V38" s="24"/>
      <c r="W38" s="24"/>
      <c r="X38" s="24"/>
      <c r="Y38" s="24"/>
      <c r="Z38" s="25" t="n">
        <f aca="false">IFERROR(SUM(R38:Y38),"")</f>
        <v>0</v>
      </c>
    </row>
    <row r="39" customFormat="false" ht="42" hidden="false" customHeight="true" outlineLevel="0" collapsed="false">
      <c r="A39" s="37" t="n">
        <v>35</v>
      </c>
      <c r="B39" s="37" t="s">
        <v>277</v>
      </c>
      <c r="C39" s="37" t="s">
        <v>278</v>
      </c>
      <c r="D39" s="38" t="s">
        <v>23</v>
      </c>
      <c r="E39" s="38" t="s">
        <v>153</v>
      </c>
      <c r="F39" s="38" t="s">
        <v>154</v>
      </c>
      <c r="G39" s="38" t="s">
        <v>155</v>
      </c>
      <c r="H39" s="38" t="n">
        <v>5</v>
      </c>
      <c r="I39" s="38" t="n">
        <v>5</v>
      </c>
      <c r="J39" s="38" t="n">
        <v>4</v>
      </c>
      <c r="K39" s="38" t="n">
        <v>5</v>
      </c>
      <c r="L39" s="38" t="n">
        <f aca="false">IFERROR(H39+I39+J39+K39,"")</f>
        <v>19</v>
      </c>
      <c r="M39" s="38"/>
      <c r="N39" s="38" t="s">
        <v>156</v>
      </c>
      <c r="O39" s="38" t="s">
        <v>279</v>
      </c>
      <c r="P39" s="38" t="s">
        <v>280</v>
      </c>
      <c r="Q39" s="38" t="s">
        <v>138</v>
      </c>
      <c r="R39" s="24"/>
      <c r="S39" s="24"/>
      <c r="T39" s="24"/>
      <c r="U39" s="24"/>
      <c r="V39" s="24"/>
      <c r="W39" s="24"/>
      <c r="X39" s="24"/>
      <c r="Y39" s="24"/>
      <c r="Z39" s="25" t="n">
        <f aca="false">IFERROR(SUM(R39:Y39),"")</f>
        <v>0</v>
      </c>
    </row>
    <row r="40" customFormat="false" ht="42" hidden="false" customHeight="true" outlineLevel="0" collapsed="false">
      <c r="A40" s="37" t="n">
        <v>36</v>
      </c>
      <c r="B40" s="37" t="s">
        <v>281</v>
      </c>
      <c r="C40" s="37" t="s">
        <v>282</v>
      </c>
      <c r="D40" s="38" t="s">
        <v>23</v>
      </c>
      <c r="E40" s="38" t="s">
        <v>153</v>
      </c>
      <c r="F40" s="38" t="s">
        <v>154</v>
      </c>
      <c r="G40" s="38" t="s">
        <v>155</v>
      </c>
      <c r="H40" s="38" t="n">
        <v>5</v>
      </c>
      <c r="I40" s="38" t="n">
        <v>5</v>
      </c>
      <c r="J40" s="38" t="n">
        <v>4</v>
      </c>
      <c r="K40" s="38" t="n">
        <v>5</v>
      </c>
      <c r="L40" s="38" t="n">
        <f aca="false">IFERROR(H40+I40+J40+K40,"")</f>
        <v>19</v>
      </c>
      <c r="M40" s="38"/>
      <c r="N40" s="38" t="s">
        <v>156</v>
      </c>
      <c r="O40" s="38" t="s">
        <v>283</v>
      </c>
      <c r="P40" s="38" t="s">
        <v>284</v>
      </c>
      <c r="Q40" s="38" t="s">
        <v>138</v>
      </c>
      <c r="R40" s="24"/>
      <c r="S40" s="24"/>
      <c r="T40" s="24"/>
      <c r="U40" s="24"/>
      <c r="V40" s="24"/>
      <c r="W40" s="24"/>
      <c r="X40" s="24"/>
      <c r="Y40" s="24"/>
      <c r="Z40" s="25" t="n">
        <f aca="false">IFERROR(SUM(R40:Y40),"")</f>
        <v>0</v>
      </c>
    </row>
    <row r="41" customFormat="false" ht="42" hidden="false" customHeight="true" outlineLevel="0" collapsed="false">
      <c r="A41" s="37" t="n">
        <v>37</v>
      </c>
      <c r="B41" s="37" t="s">
        <v>285</v>
      </c>
      <c r="C41" s="37" t="s">
        <v>286</v>
      </c>
      <c r="D41" s="38" t="s">
        <v>23</v>
      </c>
      <c r="E41" s="38" t="s">
        <v>153</v>
      </c>
      <c r="F41" s="38" t="s">
        <v>154</v>
      </c>
      <c r="G41" s="38" t="s">
        <v>155</v>
      </c>
      <c r="H41" s="38" t="n">
        <v>5</v>
      </c>
      <c r="I41" s="38" t="n">
        <v>5</v>
      </c>
      <c r="J41" s="38" t="n">
        <v>4</v>
      </c>
      <c r="K41" s="38" t="n">
        <v>5</v>
      </c>
      <c r="L41" s="38" t="n">
        <f aca="false">IFERROR(H41+I41+J41+K41,"")</f>
        <v>19</v>
      </c>
      <c r="M41" s="38"/>
      <c r="N41" s="38" t="s">
        <v>156</v>
      </c>
      <c r="O41" s="38" t="s">
        <v>287</v>
      </c>
      <c r="P41" s="38" t="s">
        <v>288</v>
      </c>
      <c r="Q41" s="38" t="s">
        <v>138</v>
      </c>
      <c r="R41" s="24"/>
      <c r="S41" s="24"/>
      <c r="T41" s="24"/>
      <c r="U41" s="24"/>
      <c r="V41" s="24"/>
      <c r="W41" s="24"/>
      <c r="X41" s="24"/>
      <c r="Y41" s="24"/>
      <c r="Z41" s="25" t="n">
        <f aca="false">IFERROR(SUM(R41:Y41),"")</f>
        <v>0</v>
      </c>
    </row>
    <row r="42" customFormat="false" ht="42" hidden="false" customHeight="true" outlineLevel="0" collapsed="false">
      <c r="A42" s="37" t="n">
        <v>38</v>
      </c>
      <c r="B42" s="37" t="s">
        <v>289</v>
      </c>
      <c r="C42" s="37" t="s">
        <v>290</v>
      </c>
      <c r="D42" s="38" t="s">
        <v>23</v>
      </c>
      <c r="E42" s="38" t="s">
        <v>153</v>
      </c>
      <c r="F42" s="38" t="s">
        <v>154</v>
      </c>
      <c r="G42" s="38" t="s">
        <v>155</v>
      </c>
      <c r="H42" s="38" t="n">
        <v>5</v>
      </c>
      <c r="I42" s="38" t="n">
        <v>5</v>
      </c>
      <c r="J42" s="38" t="n">
        <v>4</v>
      </c>
      <c r="K42" s="38" t="n">
        <v>5</v>
      </c>
      <c r="L42" s="38" t="n">
        <f aca="false">IFERROR(H42+I42+J42+K42,"")</f>
        <v>19</v>
      </c>
      <c r="M42" s="38"/>
      <c r="N42" s="38" t="s">
        <v>156</v>
      </c>
      <c r="O42" s="38" t="s">
        <v>291</v>
      </c>
      <c r="P42" s="38" t="s">
        <v>292</v>
      </c>
      <c r="Q42" s="38" t="s">
        <v>138</v>
      </c>
      <c r="R42" s="24"/>
      <c r="S42" s="24"/>
      <c r="T42" s="24"/>
      <c r="U42" s="24"/>
      <c r="V42" s="24"/>
      <c r="W42" s="24"/>
      <c r="X42" s="24"/>
      <c r="Y42" s="24"/>
      <c r="Z42" s="25" t="n">
        <f aca="false">IFERROR(SUM(R42:Y42),"")</f>
        <v>0</v>
      </c>
    </row>
    <row r="43" customFormat="false" ht="42" hidden="false" customHeight="true" outlineLevel="0" collapsed="false">
      <c r="A43" s="37" t="n">
        <v>39</v>
      </c>
      <c r="B43" s="37" t="s">
        <v>293</v>
      </c>
      <c r="C43" s="37" t="s">
        <v>294</v>
      </c>
      <c r="D43" s="38" t="s">
        <v>23</v>
      </c>
      <c r="E43" s="38" t="s">
        <v>153</v>
      </c>
      <c r="F43" s="38" t="s">
        <v>154</v>
      </c>
      <c r="G43" s="38" t="s">
        <v>155</v>
      </c>
      <c r="H43" s="38" t="n">
        <v>5</v>
      </c>
      <c r="I43" s="38" t="n">
        <v>5</v>
      </c>
      <c r="J43" s="38" t="n">
        <v>4</v>
      </c>
      <c r="K43" s="38" t="n">
        <v>5</v>
      </c>
      <c r="L43" s="38" t="n">
        <f aca="false">IFERROR(H43+I43+J43+K43,"")</f>
        <v>19</v>
      </c>
      <c r="M43" s="38"/>
      <c r="N43" s="38" t="s">
        <v>156</v>
      </c>
      <c r="O43" s="38" t="s">
        <v>295</v>
      </c>
      <c r="P43" s="38" t="s">
        <v>296</v>
      </c>
      <c r="Q43" s="38" t="s">
        <v>138</v>
      </c>
      <c r="R43" s="24"/>
      <c r="S43" s="24"/>
      <c r="T43" s="24"/>
      <c r="U43" s="24"/>
      <c r="V43" s="24"/>
      <c r="W43" s="24"/>
      <c r="X43" s="24"/>
      <c r="Y43" s="24"/>
      <c r="Z43" s="25" t="n">
        <f aca="false">IFERROR(SUM(R43:Y43),"")</f>
        <v>0</v>
      </c>
    </row>
    <row r="44" customFormat="false" ht="42" hidden="false" customHeight="true" outlineLevel="0" collapsed="false">
      <c r="A44" s="37" t="n">
        <v>40</v>
      </c>
      <c r="B44" s="37" t="s">
        <v>297</v>
      </c>
      <c r="C44" s="37" t="s">
        <v>298</v>
      </c>
      <c r="D44" s="38" t="s">
        <v>23</v>
      </c>
      <c r="E44" s="38" t="s">
        <v>153</v>
      </c>
      <c r="F44" s="38" t="s">
        <v>154</v>
      </c>
      <c r="G44" s="38" t="s">
        <v>155</v>
      </c>
      <c r="H44" s="38" t="n">
        <v>5</v>
      </c>
      <c r="I44" s="38" t="n">
        <v>5</v>
      </c>
      <c r="J44" s="38" t="n">
        <v>4</v>
      </c>
      <c r="K44" s="38" t="n">
        <v>5</v>
      </c>
      <c r="L44" s="38" t="n">
        <f aca="false">IFERROR(H44+I44+J44+K44,"")</f>
        <v>19</v>
      </c>
      <c r="M44" s="38"/>
      <c r="N44" s="38" t="s">
        <v>156</v>
      </c>
      <c r="O44" s="38" t="s">
        <v>299</v>
      </c>
      <c r="P44" s="38" t="s">
        <v>300</v>
      </c>
      <c r="Q44" s="38" t="s">
        <v>138</v>
      </c>
      <c r="R44" s="24"/>
      <c r="S44" s="24"/>
      <c r="T44" s="24"/>
      <c r="U44" s="24"/>
      <c r="V44" s="24"/>
      <c r="W44" s="24"/>
      <c r="X44" s="24"/>
      <c r="Y44" s="24"/>
      <c r="Z44" s="25" t="n">
        <f aca="false">IFERROR(SUM(R44:Y44),"")</f>
        <v>0</v>
      </c>
    </row>
    <row r="45" customFormat="false" ht="42" hidden="false" customHeight="true" outlineLevel="0" collapsed="false">
      <c r="A45" s="37" t="n">
        <v>41</v>
      </c>
      <c r="B45" s="37" t="s">
        <v>301</v>
      </c>
      <c r="C45" s="37" t="s">
        <v>302</v>
      </c>
      <c r="D45" s="38" t="s">
        <v>23</v>
      </c>
      <c r="E45" s="38" t="s">
        <v>153</v>
      </c>
      <c r="F45" s="38" t="s">
        <v>154</v>
      </c>
      <c r="G45" s="38" t="s">
        <v>155</v>
      </c>
      <c r="H45" s="38" t="n">
        <v>5</v>
      </c>
      <c r="I45" s="38" t="n">
        <v>5</v>
      </c>
      <c r="J45" s="38" t="n">
        <v>4</v>
      </c>
      <c r="K45" s="38" t="n">
        <v>5</v>
      </c>
      <c r="L45" s="38" t="n">
        <f aca="false">IFERROR(H45+I45+J45+K45,"")</f>
        <v>19</v>
      </c>
      <c r="M45" s="38"/>
      <c r="N45" s="38" t="s">
        <v>156</v>
      </c>
      <c r="O45" s="38" t="s">
        <v>303</v>
      </c>
      <c r="P45" s="38" t="s">
        <v>304</v>
      </c>
      <c r="Q45" s="38" t="s">
        <v>138</v>
      </c>
      <c r="R45" s="24"/>
      <c r="S45" s="24"/>
      <c r="T45" s="24"/>
      <c r="U45" s="24"/>
      <c r="V45" s="24"/>
      <c r="W45" s="24"/>
      <c r="X45" s="24"/>
      <c r="Y45" s="24"/>
      <c r="Z45" s="25" t="n">
        <f aca="false">IFERROR(SUM(R45:Y45),"")</f>
        <v>0</v>
      </c>
    </row>
    <row r="46" customFormat="false" ht="42" hidden="false" customHeight="true" outlineLevel="0" collapsed="false">
      <c r="A46" s="41" t="n">
        <v>42</v>
      </c>
      <c r="B46" s="41" t="s">
        <v>305</v>
      </c>
      <c r="C46" s="41" t="s">
        <v>306</v>
      </c>
      <c r="D46" s="42" t="s">
        <v>23</v>
      </c>
      <c r="E46" s="42" t="s">
        <v>91</v>
      </c>
      <c r="F46" s="42" t="s">
        <v>307</v>
      </c>
      <c r="G46" s="42" t="s">
        <v>308</v>
      </c>
      <c r="H46" s="42" t="n">
        <v>5</v>
      </c>
      <c r="I46" s="42" t="n">
        <v>5</v>
      </c>
      <c r="J46" s="42" t="n">
        <v>3</v>
      </c>
      <c r="K46" s="42" t="n">
        <v>5</v>
      </c>
      <c r="L46" s="42" t="n">
        <f aca="false">IFERROR(H46+I46+J46+K46,"")</f>
        <v>18</v>
      </c>
      <c r="M46" s="42"/>
      <c r="N46" s="42" t="s">
        <v>309</v>
      </c>
      <c r="O46" s="42" t="s">
        <v>310</v>
      </c>
      <c r="P46" s="42" t="s">
        <v>311</v>
      </c>
      <c r="Q46" s="42" t="s">
        <v>312</v>
      </c>
      <c r="R46" s="24"/>
      <c r="S46" s="24"/>
      <c r="T46" s="24"/>
      <c r="U46" s="24"/>
      <c r="V46" s="24"/>
      <c r="W46" s="24"/>
      <c r="X46" s="24"/>
      <c r="Y46" s="24"/>
      <c r="Z46" s="25" t="n">
        <f aca="false">IFERROR(SUM(R46:Y46),"")</f>
        <v>0</v>
      </c>
    </row>
    <row r="47" customFormat="false" ht="42" hidden="false" customHeight="true" outlineLevel="0" collapsed="false">
      <c r="A47" s="41" t="n">
        <v>43</v>
      </c>
      <c r="B47" s="41" t="s">
        <v>313</v>
      </c>
      <c r="C47" s="41" t="s">
        <v>314</v>
      </c>
      <c r="D47" s="42" t="s">
        <v>23</v>
      </c>
      <c r="E47" s="42" t="s">
        <v>91</v>
      </c>
      <c r="F47" s="42" t="s">
        <v>307</v>
      </c>
      <c r="G47" s="42" t="s">
        <v>308</v>
      </c>
      <c r="H47" s="42" t="n">
        <v>5</v>
      </c>
      <c r="I47" s="42" t="n">
        <v>5</v>
      </c>
      <c r="J47" s="42" t="n">
        <v>3</v>
      </c>
      <c r="K47" s="42" t="n">
        <v>5</v>
      </c>
      <c r="L47" s="42" t="n">
        <f aca="false">IFERROR(H47+I47+J47+K47,"")</f>
        <v>18</v>
      </c>
      <c r="M47" s="42"/>
      <c r="N47" s="42" t="s">
        <v>309</v>
      </c>
      <c r="O47" s="42" t="s">
        <v>315</v>
      </c>
      <c r="P47" s="42" t="s">
        <v>316</v>
      </c>
      <c r="Q47" s="42" t="s">
        <v>312</v>
      </c>
      <c r="R47" s="24"/>
      <c r="S47" s="24"/>
      <c r="T47" s="24"/>
      <c r="U47" s="24"/>
      <c r="V47" s="24"/>
      <c r="W47" s="24"/>
      <c r="X47" s="24"/>
      <c r="Y47" s="24"/>
      <c r="Z47" s="25" t="n">
        <f aca="false">IFERROR(SUM(R47:Y47),"")</f>
        <v>0</v>
      </c>
    </row>
    <row r="48" customFormat="false" ht="42" hidden="false" customHeight="true" outlineLevel="0" collapsed="false">
      <c r="A48" s="41" t="n">
        <v>44</v>
      </c>
      <c r="B48" s="41" t="s">
        <v>317</v>
      </c>
      <c r="C48" s="41" t="s">
        <v>318</v>
      </c>
      <c r="D48" s="42" t="s">
        <v>23</v>
      </c>
      <c r="E48" s="42" t="s">
        <v>91</v>
      </c>
      <c r="F48" s="42" t="s">
        <v>307</v>
      </c>
      <c r="G48" s="42" t="s">
        <v>308</v>
      </c>
      <c r="H48" s="42" t="n">
        <v>5</v>
      </c>
      <c r="I48" s="42" t="n">
        <v>5</v>
      </c>
      <c r="J48" s="42" t="n">
        <v>3</v>
      </c>
      <c r="K48" s="42" t="n">
        <v>5</v>
      </c>
      <c r="L48" s="42" t="n">
        <f aca="false">IFERROR(H48+I48+J48+K48,"")</f>
        <v>18</v>
      </c>
      <c r="M48" s="42"/>
      <c r="N48" s="42" t="s">
        <v>309</v>
      </c>
      <c r="O48" s="42" t="s">
        <v>319</v>
      </c>
      <c r="P48" s="42" t="s">
        <v>320</v>
      </c>
      <c r="Q48" s="42" t="s">
        <v>312</v>
      </c>
      <c r="R48" s="24"/>
      <c r="S48" s="24"/>
      <c r="T48" s="24"/>
      <c r="U48" s="24"/>
      <c r="V48" s="24"/>
      <c r="W48" s="24"/>
      <c r="X48" s="24"/>
      <c r="Y48" s="24"/>
      <c r="Z48" s="25" t="n">
        <f aca="false">IFERROR(SUM(R48:Y48),"")</f>
        <v>0</v>
      </c>
    </row>
    <row r="49" customFormat="false" ht="42" hidden="false" customHeight="true" outlineLevel="0" collapsed="false">
      <c r="A49" s="41" t="n">
        <v>45</v>
      </c>
      <c r="B49" s="41" t="s">
        <v>321</v>
      </c>
      <c r="C49" s="41" t="s">
        <v>322</v>
      </c>
      <c r="D49" s="42" t="s">
        <v>23</v>
      </c>
      <c r="E49" s="42" t="s">
        <v>91</v>
      </c>
      <c r="F49" s="42" t="s">
        <v>307</v>
      </c>
      <c r="G49" s="42" t="s">
        <v>308</v>
      </c>
      <c r="H49" s="42" t="n">
        <v>5</v>
      </c>
      <c r="I49" s="42" t="n">
        <v>5</v>
      </c>
      <c r="J49" s="42" t="n">
        <v>3</v>
      </c>
      <c r="K49" s="42" t="n">
        <v>5</v>
      </c>
      <c r="L49" s="42" t="n">
        <f aca="false">IFERROR(H49+I49+J49+K49,"")</f>
        <v>18</v>
      </c>
      <c r="M49" s="42"/>
      <c r="N49" s="42" t="s">
        <v>309</v>
      </c>
      <c r="O49" s="42" t="s">
        <v>323</v>
      </c>
      <c r="P49" s="42" t="s">
        <v>324</v>
      </c>
      <c r="Q49" s="42" t="s">
        <v>312</v>
      </c>
      <c r="R49" s="24"/>
      <c r="S49" s="24"/>
      <c r="T49" s="24"/>
      <c r="U49" s="24"/>
      <c r="V49" s="24"/>
      <c r="W49" s="24"/>
      <c r="X49" s="24"/>
      <c r="Y49" s="24"/>
      <c r="Z49" s="25" t="n">
        <f aca="false">IFERROR(SUM(R49:Y49),"")</f>
        <v>0</v>
      </c>
    </row>
    <row r="50" customFormat="false" ht="42" hidden="false" customHeight="true" outlineLevel="0" collapsed="false">
      <c r="A50" s="43" t="n">
        <v>46</v>
      </c>
      <c r="B50" s="43" t="s">
        <v>325</v>
      </c>
      <c r="C50" s="43" t="s">
        <v>326</v>
      </c>
      <c r="D50" s="44" t="s">
        <v>84</v>
      </c>
      <c r="E50" s="44" t="s">
        <v>327</v>
      </c>
      <c r="F50" s="44" t="s">
        <v>328</v>
      </c>
      <c r="G50" s="44" t="s">
        <v>329</v>
      </c>
      <c r="H50" s="44" t="n">
        <v>5</v>
      </c>
      <c r="I50" s="44" t="n">
        <v>5</v>
      </c>
      <c r="J50" s="44" t="n">
        <v>4</v>
      </c>
      <c r="K50" s="44" t="n">
        <v>4</v>
      </c>
      <c r="L50" s="44" t="n">
        <f aca="false">IFERROR(H50+I50+J50+K50,"")</f>
        <v>18</v>
      </c>
      <c r="M50" s="44"/>
      <c r="N50" s="44" t="s">
        <v>330</v>
      </c>
      <c r="O50" s="44" t="s">
        <v>331</v>
      </c>
      <c r="P50" s="44" t="s">
        <v>332</v>
      </c>
      <c r="Q50" s="44" t="s">
        <v>138</v>
      </c>
      <c r="R50" s="24"/>
      <c r="S50" s="24"/>
      <c r="T50" s="24"/>
      <c r="U50" s="24"/>
      <c r="V50" s="24"/>
      <c r="W50" s="24"/>
      <c r="X50" s="24"/>
      <c r="Y50" s="24"/>
      <c r="Z50" s="25" t="n">
        <f aca="false">IFERROR(SUM(R50:Y50),"")</f>
        <v>0</v>
      </c>
    </row>
    <row r="51" customFormat="false" ht="42" hidden="false" customHeight="true" outlineLevel="0" collapsed="false">
      <c r="A51" s="43" t="n">
        <v>47</v>
      </c>
      <c r="B51" s="43" t="s">
        <v>333</v>
      </c>
      <c r="C51" s="43" t="s">
        <v>334</v>
      </c>
      <c r="D51" s="44" t="s">
        <v>84</v>
      </c>
      <c r="E51" s="44" t="s">
        <v>335</v>
      </c>
      <c r="F51" s="44" t="s">
        <v>336</v>
      </c>
      <c r="G51" s="44" t="s">
        <v>329</v>
      </c>
      <c r="H51" s="44" t="n">
        <v>5</v>
      </c>
      <c r="I51" s="44" t="n">
        <v>5</v>
      </c>
      <c r="J51" s="44" t="n">
        <v>4</v>
      </c>
      <c r="K51" s="44" t="n">
        <v>4</v>
      </c>
      <c r="L51" s="44" t="n">
        <f aca="false">IFERROR(H51+I51+J51+K51,"")</f>
        <v>18</v>
      </c>
      <c r="M51" s="44"/>
      <c r="N51" s="44" t="s">
        <v>337</v>
      </c>
      <c r="O51" s="44" t="s">
        <v>338</v>
      </c>
      <c r="P51" s="44" t="s">
        <v>339</v>
      </c>
      <c r="Q51" s="44" t="s">
        <v>138</v>
      </c>
      <c r="R51" s="24"/>
      <c r="S51" s="24"/>
      <c r="T51" s="24"/>
      <c r="U51" s="24"/>
      <c r="V51" s="24"/>
      <c r="W51" s="24"/>
      <c r="X51" s="24"/>
      <c r="Y51" s="24"/>
      <c r="Z51" s="25" t="n">
        <f aca="false">IFERROR(SUM(R51:Y51),"")</f>
        <v>0</v>
      </c>
    </row>
    <row r="52" customFormat="false" ht="42" hidden="false" customHeight="true" outlineLevel="0" collapsed="false">
      <c r="A52" s="43" t="n">
        <v>48</v>
      </c>
      <c r="B52" s="43" t="s">
        <v>340</v>
      </c>
      <c r="C52" s="43" t="s">
        <v>341</v>
      </c>
      <c r="D52" s="44" t="s">
        <v>84</v>
      </c>
      <c r="E52" s="44" t="s">
        <v>335</v>
      </c>
      <c r="F52" s="44" t="s">
        <v>336</v>
      </c>
      <c r="G52" s="44" t="s">
        <v>329</v>
      </c>
      <c r="H52" s="44" t="n">
        <v>5</v>
      </c>
      <c r="I52" s="44" t="n">
        <v>5</v>
      </c>
      <c r="J52" s="44" t="n">
        <v>4</v>
      </c>
      <c r="K52" s="44" t="n">
        <v>4</v>
      </c>
      <c r="L52" s="44" t="n">
        <f aca="false">IFERROR(H52+I52+J52+K52,"")</f>
        <v>18</v>
      </c>
      <c r="M52" s="44"/>
      <c r="N52" s="44" t="s">
        <v>337</v>
      </c>
      <c r="O52" s="44" t="s">
        <v>342</v>
      </c>
      <c r="P52" s="44" t="s">
        <v>343</v>
      </c>
      <c r="Q52" s="44" t="s">
        <v>138</v>
      </c>
      <c r="R52" s="24"/>
      <c r="S52" s="24"/>
      <c r="T52" s="24"/>
      <c r="U52" s="24"/>
      <c r="V52" s="24"/>
      <c r="W52" s="24"/>
      <c r="X52" s="24"/>
      <c r="Y52" s="24"/>
      <c r="Z52" s="25" t="n">
        <f aca="false">IFERROR(SUM(R52:Y52),"")</f>
        <v>0</v>
      </c>
    </row>
    <row r="53" customFormat="false" ht="42" hidden="false" customHeight="true" outlineLevel="0" collapsed="false">
      <c r="A53" s="43" t="n">
        <v>49</v>
      </c>
      <c r="B53" s="43" t="s">
        <v>344</v>
      </c>
      <c r="C53" s="43" t="s">
        <v>345</v>
      </c>
      <c r="D53" s="44" t="s">
        <v>23</v>
      </c>
      <c r="E53" s="44" t="s">
        <v>335</v>
      </c>
      <c r="F53" s="44" t="s">
        <v>336</v>
      </c>
      <c r="G53" s="44" t="s">
        <v>329</v>
      </c>
      <c r="H53" s="44" t="n">
        <v>5</v>
      </c>
      <c r="I53" s="44" t="n">
        <v>5</v>
      </c>
      <c r="J53" s="44" t="n">
        <v>4</v>
      </c>
      <c r="K53" s="44" t="n">
        <v>4</v>
      </c>
      <c r="L53" s="44" t="n">
        <f aca="false">IFERROR(H53+I53+J53+K53,"")</f>
        <v>18</v>
      </c>
      <c r="M53" s="44"/>
      <c r="N53" s="44" t="s">
        <v>337</v>
      </c>
      <c r="O53" s="44" t="s">
        <v>346</v>
      </c>
      <c r="P53" s="44" t="s">
        <v>347</v>
      </c>
      <c r="Q53" s="44" t="s">
        <v>312</v>
      </c>
      <c r="R53" s="24"/>
      <c r="S53" s="24"/>
      <c r="T53" s="24"/>
      <c r="U53" s="24"/>
      <c r="V53" s="24"/>
      <c r="W53" s="24"/>
      <c r="X53" s="24"/>
      <c r="Y53" s="24"/>
      <c r="Z53" s="25" t="n">
        <f aca="false">IFERROR(SUM(R53:Y53),"")</f>
        <v>0</v>
      </c>
    </row>
    <row r="54" customFormat="false" ht="42" hidden="false" customHeight="true" outlineLevel="0" collapsed="false">
      <c r="A54" s="43" t="n">
        <v>50</v>
      </c>
      <c r="B54" s="43" t="s">
        <v>348</v>
      </c>
      <c r="C54" s="43" t="s">
        <v>349</v>
      </c>
      <c r="D54" s="44" t="s">
        <v>23</v>
      </c>
      <c r="E54" s="44" t="s">
        <v>335</v>
      </c>
      <c r="F54" s="44" t="s">
        <v>336</v>
      </c>
      <c r="G54" s="44" t="s">
        <v>329</v>
      </c>
      <c r="H54" s="44" t="n">
        <v>5</v>
      </c>
      <c r="I54" s="44" t="n">
        <v>5</v>
      </c>
      <c r="J54" s="44" t="n">
        <v>4</v>
      </c>
      <c r="K54" s="44" t="n">
        <v>4</v>
      </c>
      <c r="L54" s="44" t="n">
        <f aca="false">IFERROR(H54+I54+J54+K54,"")</f>
        <v>18</v>
      </c>
      <c r="M54" s="44"/>
      <c r="N54" s="44" t="s">
        <v>337</v>
      </c>
      <c r="O54" s="44" t="s">
        <v>350</v>
      </c>
      <c r="P54" s="44" t="s">
        <v>351</v>
      </c>
      <c r="Q54" s="44" t="s">
        <v>312</v>
      </c>
      <c r="R54" s="24"/>
      <c r="S54" s="24"/>
      <c r="T54" s="24"/>
      <c r="U54" s="24"/>
      <c r="V54" s="24"/>
      <c r="W54" s="24"/>
      <c r="X54" s="24"/>
      <c r="Y54" s="24"/>
      <c r="Z54" s="25" t="n">
        <f aca="false">IFERROR(SUM(R54:Y54),"")</f>
        <v>0</v>
      </c>
    </row>
    <row r="55" customFormat="false" ht="42" hidden="false" customHeight="true" outlineLevel="0" collapsed="false">
      <c r="A55" s="43" t="n">
        <v>51</v>
      </c>
      <c r="B55" s="43" t="s">
        <v>352</v>
      </c>
      <c r="C55" s="43" t="s">
        <v>353</v>
      </c>
      <c r="D55" s="44" t="s">
        <v>23</v>
      </c>
      <c r="E55" s="44" t="s">
        <v>335</v>
      </c>
      <c r="F55" s="44" t="s">
        <v>336</v>
      </c>
      <c r="G55" s="44" t="s">
        <v>329</v>
      </c>
      <c r="H55" s="44" t="n">
        <v>5</v>
      </c>
      <c r="I55" s="44" t="n">
        <v>5</v>
      </c>
      <c r="J55" s="44" t="n">
        <v>4</v>
      </c>
      <c r="K55" s="44" t="n">
        <v>4</v>
      </c>
      <c r="L55" s="44" t="n">
        <f aca="false">IFERROR(H55+I55+J55+K55,"")</f>
        <v>18</v>
      </c>
      <c r="M55" s="44"/>
      <c r="N55" s="44" t="s">
        <v>337</v>
      </c>
      <c r="O55" s="44" t="s">
        <v>354</v>
      </c>
      <c r="P55" s="44" t="s">
        <v>355</v>
      </c>
      <c r="Q55" s="44" t="s">
        <v>312</v>
      </c>
      <c r="R55" s="24"/>
      <c r="S55" s="24"/>
      <c r="T55" s="24"/>
      <c r="U55" s="24"/>
      <c r="V55" s="24"/>
      <c r="W55" s="24"/>
      <c r="X55" s="24"/>
      <c r="Y55" s="24"/>
      <c r="Z55" s="25" t="n">
        <f aca="false">IFERROR(SUM(R55:Y55),"")</f>
        <v>0</v>
      </c>
    </row>
    <row r="56" customFormat="false" ht="42" hidden="false" customHeight="true" outlineLevel="0" collapsed="false">
      <c r="A56" s="43" t="n">
        <v>52</v>
      </c>
      <c r="B56" s="43" t="s">
        <v>356</v>
      </c>
      <c r="C56" s="43" t="s">
        <v>357</v>
      </c>
      <c r="D56" s="44" t="s">
        <v>23</v>
      </c>
      <c r="E56" s="44" t="s">
        <v>335</v>
      </c>
      <c r="F56" s="44" t="s">
        <v>336</v>
      </c>
      <c r="G56" s="44" t="s">
        <v>329</v>
      </c>
      <c r="H56" s="44" t="n">
        <v>5</v>
      </c>
      <c r="I56" s="44" t="n">
        <v>5</v>
      </c>
      <c r="J56" s="44" t="n">
        <v>4</v>
      </c>
      <c r="K56" s="44" t="n">
        <v>4</v>
      </c>
      <c r="L56" s="44" t="n">
        <f aca="false">IFERROR(H56+I56+J56+K56,"")</f>
        <v>18</v>
      </c>
      <c r="M56" s="44"/>
      <c r="N56" s="44" t="s">
        <v>337</v>
      </c>
      <c r="O56" s="44" t="s">
        <v>358</v>
      </c>
      <c r="P56" s="44" t="s">
        <v>359</v>
      </c>
      <c r="Q56" s="44" t="s">
        <v>312</v>
      </c>
      <c r="R56" s="24"/>
      <c r="S56" s="24"/>
      <c r="T56" s="24"/>
      <c r="U56" s="24"/>
      <c r="V56" s="24"/>
      <c r="W56" s="24"/>
      <c r="X56" s="24"/>
      <c r="Y56" s="24"/>
      <c r="Z56" s="25" t="n">
        <f aca="false">IFERROR(SUM(R56:Y56),"")</f>
        <v>0</v>
      </c>
    </row>
    <row r="57" customFormat="false" ht="42" hidden="false" customHeight="true" outlineLevel="0" collapsed="false">
      <c r="A57" s="43" t="n">
        <v>53</v>
      </c>
      <c r="B57" s="43" t="s">
        <v>360</v>
      </c>
      <c r="C57" s="43" t="s">
        <v>361</v>
      </c>
      <c r="D57" s="44" t="s">
        <v>23</v>
      </c>
      <c r="E57" s="44" t="s">
        <v>335</v>
      </c>
      <c r="F57" s="44" t="s">
        <v>336</v>
      </c>
      <c r="G57" s="44" t="s">
        <v>329</v>
      </c>
      <c r="H57" s="44" t="n">
        <v>5</v>
      </c>
      <c r="I57" s="44" t="n">
        <v>5</v>
      </c>
      <c r="J57" s="44" t="n">
        <v>4</v>
      </c>
      <c r="K57" s="44" t="n">
        <v>4</v>
      </c>
      <c r="L57" s="44" t="n">
        <f aca="false">IFERROR(H57+I57+J57+K57,"")</f>
        <v>18</v>
      </c>
      <c r="M57" s="44"/>
      <c r="N57" s="44" t="s">
        <v>337</v>
      </c>
      <c r="O57" s="44" t="s">
        <v>362</v>
      </c>
      <c r="P57" s="44" t="s">
        <v>363</v>
      </c>
      <c r="Q57" s="44" t="s">
        <v>312</v>
      </c>
      <c r="R57" s="24"/>
      <c r="S57" s="24"/>
      <c r="T57" s="24"/>
      <c r="U57" s="24"/>
      <c r="V57" s="24"/>
      <c r="W57" s="24"/>
      <c r="X57" s="24"/>
      <c r="Y57" s="24"/>
      <c r="Z57" s="25" t="n">
        <f aca="false">IFERROR(SUM(R57:Y57),"")</f>
        <v>0</v>
      </c>
    </row>
    <row r="58" customFormat="false" ht="42" hidden="false" customHeight="true" outlineLevel="0" collapsed="false">
      <c r="A58" s="43" t="n">
        <v>54</v>
      </c>
      <c r="B58" s="43" t="s">
        <v>364</v>
      </c>
      <c r="C58" s="43" t="s">
        <v>365</v>
      </c>
      <c r="D58" s="44" t="s">
        <v>23</v>
      </c>
      <c r="E58" s="44" t="s">
        <v>335</v>
      </c>
      <c r="F58" s="44" t="s">
        <v>336</v>
      </c>
      <c r="G58" s="44" t="s">
        <v>329</v>
      </c>
      <c r="H58" s="44" t="n">
        <v>5</v>
      </c>
      <c r="I58" s="44" t="n">
        <v>5</v>
      </c>
      <c r="J58" s="44" t="n">
        <v>4</v>
      </c>
      <c r="K58" s="44" t="n">
        <v>4</v>
      </c>
      <c r="L58" s="44" t="n">
        <f aca="false">IFERROR(H58+I58+J58+K58,"")</f>
        <v>18</v>
      </c>
      <c r="M58" s="44"/>
      <c r="N58" s="44" t="s">
        <v>337</v>
      </c>
      <c r="O58" s="44" t="s">
        <v>366</v>
      </c>
      <c r="P58" s="44" t="s">
        <v>367</v>
      </c>
      <c r="Q58" s="44" t="s">
        <v>312</v>
      </c>
      <c r="R58" s="24"/>
      <c r="S58" s="24"/>
      <c r="T58" s="24"/>
      <c r="U58" s="24"/>
      <c r="V58" s="24"/>
      <c r="W58" s="24"/>
      <c r="X58" s="24"/>
      <c r="Y58" s="24"/>
      <c r="Z58" s="25" t="n">
        <f aca="false">IFERROR(SUM(R58:Y58),"")</f>
        <v>0</v>
      </c>
    </row>
    <row r="59" customFormat="false" ht="42" hidden="false" customHeight="true" outlineLevel="0" collapsed="false">
      <c r="A59" s="43" t="n">
        <v>55</v>
      </c>
      <c r="B59" s="43" t="s">
        <v>368</v>
      </c>
      <c r="C59" s="43" t="s">
        <v>369</v>
      </c>
      <c r="D59" s="44" t="s">
        <v>23</v>
      </c>
      <c r="E59" s="44" t="s">
        <v>335</v>
      </c>
      <c r="F59" s="44" t="s">
        <v>336</v>
      </c>
      <c r="G59" s="44" t="s">
        <v>329</v>
      </c>
      <c r="H59" s="44" t="n">
        <v>5</v>
      </c>
      <c r="I59" s="44" t="n">
        <v>5</v>
      </c>
      <c r="J59" s="44" t="n">
        <v>4</v>
      </c>
      <c r="K59" s="44" t="n">
        <v>4</v>
      </c>
      <c r="L59" s="44" t="n">
        <f aca="false">IFERROR(H59+I59+J59+K59,"")</f>
        <v>18</v>
      </c>
      <c r="M59" s="44"/>
      <c r="N59" s="44" t="s">
        <v>337</v>
      </c>
      <c r="O59" s="44" t="s">
        <v>370</v>
      </c>
      <c r="P59" s="44" t="s">
        <v>371</v>
      </c>
      <c r="Q59" s="44" t="s">
        <v>312</v>
      </c>
      <c r="R59" s="24"/>
      <c r="S59" s="24"/>
      <c r="T59" s="24"/>
      <c r="U59" s="24"/>
      <c r="V59" s="24"/>
      <c r="W59" s="24"/>
      <c r="X59" s="24"/>
      <c r="Y59" s="24"/>
      <c r="Z59" s="25" t="n">
        <f aca="false">IFERROR(SUM(R59:Y59),"")</f>
        <v>0</v>
      </c>
    </row>
    <row r="60" customFormat="false" ht="42" hidden="false" customHeight="true" outlineLevel="0" collapsed="false">
      <c r="A60" s="43" t="n">
        <v>56</v>
      </c>
      <c r="B60" s="43" t="s">
        <v>372</v>
      </c>
      <c r="C60" s="43" t="s">
        <v>373</v>
      </c>
      <c r="D60" s="44" t="s">
        <v>23</v>
      </c>
      <c r="E60" s="44" t="s">
        <v>335</v>
      </c>
      <c r="F60" s="44" t="s">
        <v>336</v>
      </c>
      <c r="G60" s="44" t="s">
        <v>329</v>
      </c>
      <c r="H60" s="44" t="n">
        <v>5</v>
      </c>
      <c r="I60" s="44" t="n">
        <v>5</v>
      </c>
      <c r="J60" s="44" t="n">
        <v>4</v>
      </c>
      <c r="K60" s="44" t="n">
        <v>4</v>
      </c>
      <c r="L60" s="44" t="n">
        <f aca="false">IFERROR(H60+I60+J60+K60,"")</f>
        <v>18</v>
      </c>
      <c r="M60" s="44"/>
      <c r="N60" s="44" t="s">
        <v>337</v>
      </c>
      <c r="O60" s="44" t="s">
        <v>374</v>
      </c>
      <c r="P60" s="44" t="s">
        <v>375</v>
      </c>
      <c r="Q60" s="44" t="s">
        <v>312</v>
      </c>
      <c r="R60" s="24"/>
      <c r="S60" s="24"/>
      <c r="T60" s="24"/>
      <c r="U60" s="24"/>
      <c r="V60" s="24"/>
      <c r="W60" s="24"/>
      <c r="X60" s="24"/>
      <c r="Y60" s="24"/>
      <c r="Z60" s="25" t="n">
        <f aca="false">IFERROR(SUM(R60:Y60),"")</f>
        <v>0</v>
      </c>
    </row>
    <row r="61" customFormat="false" ht="42" hidden="false" customHeight="true" outlineLevel="0" collapsed="false">
      <c r="A61" s="43" t="n">
        <v>57</v>
      </c>
      <c r="B61" s="43" t="s">
        <v>376</v>
      </c>
      <c r="C61" s="43" t="s">
        <v>377</v>
      </c>
      <c r="D61" s="44" t="s">
        <v>23</v>
      </c>
      <c r="E61" s="44" t="s">
        <v>335</v>
      </c>
      <c r="F61" s="44" t="s">
        <v>336</v>
      </c>
      <c r="G61" s="44" t="s">
        <v>329</v>
      </c>
      <c r="H61" s="44" t="n">
        <v>5</v>
      </c>
      <c r="I61" s="44" t="n">
        <v>5</v>
      </c>
      <c r="J61" s="44" t="n">
        <v>4</v>
      </c>
      <c r="K61" s="44" t="n">
        <v>4</v>
      </c>
      <c r="L61" s="44" t="n">
        <f aca="false">IFERROR(H61+I61+J61+K61,"")</f>
        <v>18</v>
      </c>
      <c r="M61" s="44"/>
      <c r="N61" s="44" t="s">
        <v>337</v>
      </c>
      <c r="O61" s="44" t="s">
        <v>378</v>
      </c>
      <c r="P61" s="44" t="s">
        <v>379</v>
      </c>
      <c r="Q61" s="44" t="s">
        <v>138</v>
      </c>
      <c r="R61" s="24"/>
      <c r="S61" s="24"/>
      <c r="T61" s="24"/>
      <c r="U61" s="24"/>
      <c r="V61" s="24"/>
      <c r="W61" s="24"/>
      <c r="X61" s="24"/>
      <c r="Y61" s="24"/>
      <c r="Z61" s="25" t="n">
        <f aca="false">IFERROR(SUM(R61:Y61),"")</f>
        <v>0</v>
      </c>
    </row>
    <row r="62" customFormat="false" ht="42" hidden="false" customHeight="true" outlineLevel="0" collapsed="false">
      <c r="A62" s="43" t="n">
        <v>58</v>
      </c>
      <c r="B62" s="43" t="s">
        <v>380</v>
      </c>
      <c r="C62" s="43" t="s">
        <v>381</v>
      </c>
      <c r="D62" s="44" t="s">
        <v>23</v>
      </c>
      <c r="E62" s="44" t="s">
        <v>335</v>
      </c>
      <c r="F62" s="44" t="s">
        <v>336</v>
      </c>
      <c r="G62" s="44" t="s">
        <v>329</v>
      </c>
      <c r="H62" s="44" t="n">
        <v>5</v>
      </c>
      <c r="I62" s="44" t="n">
        <v>5</v>
      </c>
      <c r="J62" s="44" t="n">
        <v>4</v>
      </c>
      <c r="K62" s="44" t="n">
        <v>4</v>
      </c>
      <c r="L62" s="44" t="n">
        <f aca="false">IFERROR(H62+I62+J62+K62,"")</f>
        <v>18</v>
      </c>
      <c r="M62" s="44"/>
      <c r="N62" s="44" t="s">
        <v>337</v>
      </c>
      <c r="O62" s="44" t="s">
        <v>382</v>
      </c>
      <c r="P62" s="44" t="s">
        <v>383</v>
      </c>
      <c r="Q62" s="44" t="s">
        <v>138</v>
      </c>
      <c r="R62" s="24"/>
      <c r="S62" s="24"/>
      <c r="T62" s="24"/>
      <c r="U62" s="24"/>
      <c r="V62" s="24"/>
      <c r="W62" s="24"/>
      <c r="X62" s="24"/>
      <c r="Y62" s="24"/>
      <c r="Z62" s="25" t="n">
        <f aca="false">IFERROR(SUM(R62:Y62),"")</f>
        <v>0</v>
      </c>
    </row>
    <row r="63" customFormat="false" ht="42" hidden="false" customHeight="true" outlineLevel="0" collapsed="false">
      <c r="A63" s="43" t="n">
        <v>59</v>
      </c>
      <c r="B63" s="43" t="s">
        <v>384</v>
      </c>
      <c r="C63" s="43" t="s">
        <v>385</v>
      </c>
      <c r="D63" s="44" t="s">
        <v>23</v>
      </c>
      <c r="E63" s="44" t="s">
        <v>335</v>
      </c>
      <c r="F63" s="44" t="s">
        <v>336</v>
      </c>
      <c r="G63" s="44" t="s">
        <v>329</v>
      </c>
      <c r="H63" s="44" t="n">
        <v>5</v>
      </c>
      <c r="I63" s="44" t="n">
        <v>5</v>
      </c>
      <c r="J63" s="44" t="n">
        <v>4</v>
      </c>
      <c r="K63" s="44" t="n">
        <v>4</v>
      </c>
      <c r="L63" s="44" t="n">
        <f aca="false">IFERROR(H63+I63+J63+K63,"")</f>
        <v>18</v>
      </c>
      <c r="M63" s="44"/>
      <c r="N63" s="44" t="s">
        <v>337</v>
      </c>
      <c r="O63" s="44" t="s">
        <v>386</v>
      </c>
      <c r="P63" s="44" t="s">
        <v>387</v>
      </c>
      <c r="Q63" s="44" t="s">
        <v>138</v>
      </c>
      <c r="R63" s="24"/>
      <c r="S63" s="24"/>
      <c r="T63" s="24"/>
      <c r="U63" s="24"/>
      <c r="V63" s="24"/>
      <c r="W63" s="24"/>
      <c r="X63" s="24"/>
      <c r="Y63" s="24"/>
      <c r="Z63" s="25" t="n">
        <f aca="false">IFERROR(SUM(R63:Y63),"")</f>
        <v>0</v>
      </c>
    </row>
    <row r="64" customFormat="false" ht="42" hidden="false" customHeight="true" outlineLevel="0" collapsed="false">
      <c r="A64" s="45" t="n">
        <v>60</v>
      </c>
      <c r="B64" s="45" t="s">
        <v>388</v>
      </c>
      <c r="C64" s="45" t="s">
        <v>389</v>
      </c>
      <c r="D64" s="46" t="s">
        <v>23</v>
      </c>
      <c r="E64" s="46" t="s">
        <v>390</v>
      </c>
      <c r="F64" s="46" t="s">
        <v>391</v>
      </c>
      <c r="G64" s="46" t="s">
        <v>392</v>
      </c>
      <c r="H64" s="46" t="n">
        <v>5</v>
      </c>
      <c r="I64" s="46" t="n">
        <v>4</v>
      </c>
      <c r="J64" s="46" t="n">
        <v>4</v>
      </c>
      <c r="K64" s="46" t="n">
        <v>5</v>
      </c>
      <c r="L64" s="46" t="n">
        <f aca="false">IFERROR(H64+I64+J64+K64,"")</f>
        <v>18</v>
      </c>
      <c r="M64" s="46"/>
      <c r="N64" s="46" t="s">
        <v>393</v>
      </c>
      <c r="O64" s="46" t="s">
        <v>394</v>
      </c>
      <c r="P64" s="46" t="s">
        <v>395</v>
      </c>
      <c r="Q64" s="46" t="s">
        <v>312</v>
      </c>
      <c r="R64" s="24"/>
      <c r="S64" s="24"/>
      <c r="T64" s="24"/>
      <c r="U64" s="24"/>
      <c r="V64" s="24"/>
      <c r="W64" s="24"/>
      <c r="X64" s="24"/>
      <c r="Y64" s="24"/>
      <c r="Z64" s="25" t="n">
        <f aca="false">IFERROR(SUM(R64:Y64),"")</f>
        <v>0</v>
      </c>
    </row>
    <row r="65" customFormat="false" ht="42" hidden="false" customHeight="true" outlineLevel="0" collapsed="false">
      <c r="A65" s="45" t="n">
        <v>61</v>
      </c>
      <c r="B65" s="45" t="s">
        <v>396</v>
      </c>
      <c r="C65" s="45" t="s">
        <v>397</v>
      </c>
      <c r="D65" s="46" t="s">
        <v>23</v>
      </c>
      <c r="E65" s="46" t="s">
        <v>390</v>
      </c>
      <c r="F65" s="46" t="s">
        <v>391</v>
      </c>
      <c r="G65" s="46" t="s">
        <v>392</v>
      </c>
      <c r="H65" s="46" t="n">
        <v>5</v>
      </c>
      <c r="I65" s="46" t="n">
        <v>4</v>
      </c>
      <c r="J65" s="46" t="n">
        <v>4</v>
      </c>
      <c r="K65" s="46" t="n">
        <v>5</v>
      </c>
      <c r="L65" s="46" t="n">
        <f aca="false">IFERROR(H65+I65+J65+K65,"")</f>
        <v>18</v>
      </c>
      <c r="M65" s="46"/>
      <c r="N65" s="46" t="s">
        <v>393</v>
      </c>
      <c r="O65" s="46" t="s">
        <v>398</v>
      </c>
      <c r="P65" s="46" t="s">
        <v>399</v>
      </c>
      <c r="Q65" s="46" t="s">
        <v>312</v>
      </c>
      <c r="R65" s="24"/>
      <c r="S65" s="24"/>
      <c r="T65" s="24"/>
      <c r="U65" s="24"/>
      <c r="V65" s="24"/>
      <c r="W65" s="24"/>
      <c r="X65" s="24"/>
      <c r="Y65" s="24"/>
      <c r="Z65" s="25" t="n">
        <f aca="false">IFERROR(SUM(R65:Y65),"")</f>
        <v>0</v>
      </c>
    </row>
    <row r="66" customFormat="false" ht="42" hidden="false" customHeight="true" outlineLevel="0" collapsed="false">
      <c r="A66" s="47" t="n">
        <v>62</v>
      </c>
      <c r="B66" s="47" t="s">
        <v>400</v>
      </c>
      <c r="C66" s="47" t="s">
        <v>401</v>
      </c>
      <c r="D66" s="48" t="s">
        <v>23</v>
      </c>
      <c r="E66" s="48" t="s">
        <v>402</v>
      </c>
      <c r="F66" s="48" t="s">
        <v>403</v>
      </c>
      <c r="G66" s="48" t="s">
        <v>404</v>
      </c>
      <c r="H66" s="48" t="n">
        <v>5</v>
      </c>
      <c r="I66" s="48" t="n">
        <v>4</v>
      </c>
      <c r="J66" s="48" t="n">
        <v>3</v>
      </c>
      <c r="K66" s="48" t="n">
        <v>5</v>
      </c>
      <c r="L66" s="48" t="n">
        <f aca="false">IFERROR(H66+I66+J66+K66,"")</f>
        <v>17</v>
      </c>
      <c r="M66" s="48"/>
      <c r="N66" s="48" t="s">
        <v>405</v>
      </c>
      <c r="O66" s="48" t="s">
        <v>406</v>
      </c>
      <c r="P66" s="48" t="s">
        <v>407</v>
      </c>
      <c r="Q66" s="48" t="s">
        <v>312</v>
      </c>
      <c r="R66" s="24"/>
      <c r="S66" s="24"/>
      <c r="T66" s="24"/>
      <c r="U66" s="24"/>
      <c r="V66" s="24"/>
      <c r="W66" s="24"/>
      <c r="X66" s="24"/>
      <c r="Y66" s="24"/>
      <c r="Z66" s="25" t="n">
        <f aca="false">IFERROR(SUM(R66:Y66),"")</f>
        <v>0</v>
      </c>
    </row>
    <row r="67" customFormat="false" ht="42" hidden="false" customHeight="true" outlineLevel="0" collapsed="false">
      <c r="A67" s="47" t="n">
        <v>63</v>
      </c>
      <c r="B67" s="47" t="s">
        <v>408</v>
      </c>
      <c r="C67" s="47" t="s">
        <v>409</v>
      </c>
      <c r="D67" s="48" t="s">
        <v>23</v>
      </c>
      <c r="E67" s="48" t="s">
        <v>402</v>
      </c>
      <c r="F67" s="48" t="s">
        <v>403</v>
      </c>
      <c r="G67" s="48" t="s">
        <v>404</v>
      </c>
      <c r="H67" s="48" t="n">
        <v>5</v>
      </c>
      <c r="I67" s="48" t="n">
        <v>4</v>
      </c>
      <c r="J67" s="48" t="n">
        <v>3</v>
      </c>
      <c r="K67" s="48" t="n">
        <v>5</v>
      </c>
      <c r="L67" s="48" t="n">
        <f aca="false">IFERROR(H67+I67+J67+K67,"")</f>
        <v>17</v>
      </c>
      <c r="M67" s="48"/>
      <c r="N67" s="48" t="s">
        <v>405</v>
      </c>
      <c r="O67" s="48" t="s">
        <v>410</v>
      </c>
      <c r="P67" s="48" t="s">
        <v>411</v>
      </c>
      <c r="Q67" s="48" t="s">
        <v>312</v>
      </c>
      <c r="R67" s="24"/>
      <c r="S67" s="24"/>
      <c r="T67" s="24"/>
      <c r="U67" s="24"/>
      <c r="V67" s="24"/>
      <c r="W67" s="24"/>
      <c r="X67" s="24"/>
      <c r="Y67" s="24"/>
      <c r="Z67" s="25" t="n">
        <f aca="false">IFERROR(SUM(R67:Y67),"")</f>
        <v>0</v>
      </c>
    </row>
    <row r="68" customFormat="false" ht="42" hidden="false" customHeight="true" outlineLevel="0" collapsed="false">
      <c r="A68" s="47" t="n">
        <v>64</v>
      </c>
      <c r="B68" s="47" t="s">
        <v>412</v>
      </c>
      <c r="C68" s="47" t="s">
        <v>413</v>
      </c>
      <c r="D68" s="48" t="s">
        <v>23</v>
      </c>
      <c r="E68" s="48" t="s">
        <v>402</v>
      </c>
      <c r="F68" s="48" t="s">
        <v>403</v>
      </c>
      <c r="G68" s="48" t="s">
        <v>404</v>
      </c>
      <c r="H68" s="48" t="n">
        <v>5</v>
      </c>
      <c r="I68" s="48" t="n">
        <v>4</v>
      </c>
      <c r="J68" s="48" t="n">
        <v>3</v>
      </c>
      <c r="K68" s="48" t="n">
        <v>5</v>
      </c>
      <c r="L68" s="48" t="n">
        <f aca="false">IFERROR(H68+I68+J68+K68,"")</f>
        <v>17</v>
      </c>
      <c r="M68" s="48"/>
      <c r="N68" s="48" t="s">
        <v>405</v>
      </c>
      <c r="O68" s="48" t="s">
        <v>414</v>
      </c>
      <c r="P68" s="48" t="s">
        <v>415</v>
      </c>
      <c r="Q68" s="48" t="s">
        <v>312</v>
      </c>
      <c r="R68" s="24"/>
      <c r="S68" s="24"/>
      <c r="T68" s="24"/>
      <c r="U68" s="24"/>
      <c r="V68" s="24"/>
      <c r="W68" s="24"/>
      <c r="X68" s="24"/>
      <c r="Y68" s="24"/>
      <c r="Z68" s="25" t="n">
        <f aca="false">IFERROR(SUM(R68:Y68),"")</f>
        <v>0</v>
      </c>
    </row>
    <row r="69" customFormat="false" ht="42" hidden="false" customHeight="true" outlineLevel="0" collapsed="false">
      <c r="A69" s="49" t="n">
        <v>65</v>
      </c>
      <c r="B69" s="49" t="s">
        <v>416</v>
      </c>
      <c r="C69" s="49" t="s">
        <v>417</v>
      </c>
      <c r="D69" s="50" t="s">
        <v>23</v>
      </c>
      <c r="E69" s="50" t="s">
        <v>418</v>
      </c>
      <c r="F69" s="50" t="s">
        <v>419</v>
      </c>
      <c r="G69" s="50" t="s">
        <v>420</v>
      </c>
      <c r="H69" s="50" t="n">
        <v>4</v>
      </c>
      <c r="I69" s="50" t="n">
        <v>4</v>
      </c>
      <c r="J69" s="50" t="n">
        <v>5</v>
      </c>
      <c r="K69" s="50" t="n">
        <v>4</v>
      </c>
      <c r="L69" s="50" t="n">
        <f aca="false">IFERROR(H69+I69+J69+K69,"")</f>
        <v>17</v>
      </c>
      <c r="M69" s="50"/>
      <c r="N69" s="50" t="s">
        <v>421</v>
      </c>
      <c r="O69" s="50" t="s">
        <v>422</v>
      </c>
      <c r="P69" s="50" t="s">
        <v>423</v>
      </c>
      <c r="Q69" s="50" t="s">
        <v>312</v>
      </c>
      <c r="R69" s="24"/>
      <c r="S69" s="24"/>
      <c r="T69" s="24"/>
      <c r="U69" s="24"/>
      <c r="V69" s="24"/>
      <c r="W69" s="24"/>
      <c r="X69" s="24"/>
      <c r="Y69" s="24"/>
      <c r="Z69" s="25" t="n">
        <f aca="false">IFERROR(SUM(R69:Y69),"")</f>
        <v>0</v>
      </c>
    </row>
    <row r="70" customFormat="false" ht="42" hidden="false" customHeight="true" outlineLevel="0" collapsed="false">
      <c r="A70" s="49" t="n">
        <v>66</v>
      </c>
      <c r="B70" s="49" t="s">
        <v>424</v>
      </c>
      <c r="C70" s="49" t="s">
        <v>425</v>
      </c>
      <c r="D70" s="50" t="s">
        <v>23</v>
      </c>
      <c r="E70" s="50" t="s">
        <v>418</v>
      </c>
      <c r="F70" s="50" t="s">
        <v>419</v>
      </c>
      <c r="G70" s="50" t="s">
        <v>420</v>
      </c>
      <c r="H70" s="50" t="n">
        <v>4</v>
      </c>
      <c r="I70" s="50" t="n">
        <v>4</v>
      </c>
      <c r="J70" s="50" t="n">
        <v>5</v>
      </c>
      <c r="K70" s="50" t="n">
        <v>4</v>
      </c>
      <c r="L70" s="50" t="n">
        <f aca="false">IFERROR(H70+I70+J70+K70,"")</f>
        <v>17</v>
      </c>
      <c r="M70" s="50"/>
      <c r="N70" s="50" t="s">
        <v>421</v>
      </c>
      <c r="O70" s="50" t="s">
        <v>426</v>
      </c>
      <c r="P70" s="50" t="s">
        <v>427</v>
      </c>
      <c r="Q70" s="50" t="s">
        <v>312</v>
      </c>
      <c r="R70" s="24"/>
      <c r="S70" s="24"/>
      <c r="T70" s="24"/>
      <c r="U70" s="24"/>
      <c r="V70" s="24"/>
      <c r="W70" s="24"/>
      <c r="X70" s="24"/>
      <c r="Y70" s="24"/>
      <c r="Z70" s="25" t="n">
        <f aca="false">IFERROR(SUM(R70:Y70),"")</f>
        <v>0</v>
      </c>
    </row>
    <row r="71" customFormat="false" ht="42" hidden="false" customHeight="true" outlineLevel="0" collapsed="false">
      <c r="A71" s="49" t="n">
        <v>67</v>
      </c>
      <c r="B71" s="49" t="s">
        <v>428</v>
      </c>
      <c r="C71" s="49" t="s">
        <v>429</v>
      </c>
      <c r="D71" s="50" t="s">
        <v>23</v>
      </c>
      <c r="E71" s="50" t="s">
        <v>418</v>
      </c>
      <c r="F71" s="50" t="s">
        <v>419</v>
      </c>
      <c r="G71" s="50" t="s">
        <v>420</v>
      </c>
      <c r="H71" s="50" t="n">
        <v>4</v>
      </c>
      <c r="I71" s="50" t="n">
        <v>4</v>
      </c>
      <c r="J71" s="50" t="n">
        <v>5</v>
      </c>
      <c r="K71" s="50" t="n">
        <v>4</v>
      </c>
      <c r="L71" s="50" t="n">
        <f aca="false">IFERROR(H71+I71+J71+K71,"")</f>
        <v>17</v>
      </c>
      <c r="M71" s="50"/>
      <c r="N71" s="50" t="s">
        <v>421</v>
      </c>
      <c r="O71" s="50" t="s">
        <v>430</v>
      </c>
      <c r="P71" s="50" t="s">
        <v>431</v>
      </c>
      <c r="Q71" s="50" t="s">
        <v>312</v>
      </c>
      <c r="R71" s="24"/>
      <c r="S71" s="24"/>
      <c r="T71" s="24"/>
      <c r="U71" s="24"/>
      <c r="V71" s="24"/>
      <c r="W71" s="24"/>
      <c r="X71" s="24"/>
      <c r="Y71" s="24"/>
      <c r="Z71" s="25" t="n">
        <f aca="false">IFERROR(SUM(R71:Y71),"")</f>
        <v>0</v>
      </c>
    </row>
    <row r="72" customFormat="false" ht="42" hidden="false" customHeight="true" outlineLevel="0" collapsed="false">
      <c r="A72" s="49" t="n">
        <v>68</v>
      </c>
      <c r="B72" s="49" t="s">
        <v>432</v>
      </c>
      <c r="C72" s="49" t="s">
        <v>433</v>
      </c>
      <c r="D72" s="50" t="s">
        <v>23</v>
      </c>
      <c r="E72" s="50" t="s">
        <v>418</v>
      </c>
      <c r="F72" s="50" t="s">
        <v>419</v>
      </c>
      <c r="G72" s="50" t="s">
        <v>420</v>
      </c>
      <c r="H72" s="50" t="n">
        <v>4</v>
      </c>
      <c r="I72" s="50" t="n">
        <v>4</v>
      </c>
      <c r="J72" s="50" t="n">
        <v>5</v>
      </c>
      <c r="K72" s="50" t="n">
        <v>4</v>
      </c>
      <c r="L72" s="50" t="n">
        <f aca="false">IFERROR(H72+I72+J72+K72,"")</f>
        <v>17</v>
      </c>
      <c r="M72" s="50"/>
      <c r="N72" s="50" t="s">
        <v>421</v>
      </c>
      <c r="O72" s="50" t="s">
        <v>434</v>
      </c>
      <c r="P72" s="50" t="s">
        <v>435</v>
      </c>
      <c r="Q72" s="50" t="s">
        <v>312</v>
      </c>
      <c r="R72" s="24"/>
      <c r="S72" s="24"/>
      <c r="T72" s="24"/>
      <c r="U72" s="24"/>
      <c r="V72" s="24"/>
      <c r="W72" s="24"/>
      <c r="X72" s="24"/>
      <c r="Y72" s="24"/>
      <c r="Z72" s="25" t="n">
        <f aca="false">IFERROR(SUM(R72:Y72),"")</f>
        <v>0</v>
      </c>
    </row>
    <row r="73" customFormat="false" ht="42" hidden="false" customHeight="true" outlineLevel="0" collapsed="false">
      <c r="A73" s="49" t="n">
        <v>69</v>
      </c>
      <c r="B73" s="49" t="s">
        <v>436</v>
      </c>
      <c r="C73" s="49" t="s">
        <v>437</v>
      </c>
      <c r="D73" s="50" t="s">
        <v>23</v>
      </c>
      <c r="E73" s="50" t="s">
        <v>418</v>
      </c>
      <c r="F73" s="50" t="s">
        <v>419</v>
      </c>
      <c r="G73" s="50" t="s">
        <v>420</v>
      </c>
      <c r="H73" s="50" t="n">
        <v>4</v>
      </c>
      <c r="I73" s="50" t="n">
        <v>4</v>
      </c>
      <c r="J73" s="50" t="n">
        <v>5</v>
      </c>
      <c r="K73" s="50" t="n">
        <v>4</v>
      </c>
      <c r="L73" s="50" t="n">
        <f aca="false">IFERROR(H73+I73+J73+K73,"")</f>
        <v>17</v>
      </c>
      <c r="M73" s="50"/>
      <c r="N73" s="50" t="s">
        <v>421</v>
      </c>
      <c r="O73" s="50" t="s">
        <v>438</v>
      </c>
      <c r="P73" s="50" t="s">
        <v>439</v>
      </c>
      <c r="Q73" s="50" t="s">
        <v>312</v>
      </c>
      <c r="R73" s="24"/>
      <c r="S73" s="24"/>
      <c r="T73" s="24"/>
      <c r="U73" s="24"/>
      <c r="V73" s="24"/>
      <c r="W73" s="24"/>
      <c r="X73" s="24"/>
      <c r="Y73" s="24"/>
      <c r="Z73" s="25" t="n">
        <f aca="false">IFERROR(SUM(R73:Y73),"")</f>
        <v>0</v>
      </c>
    </row>
    <row r="74" customFormat="false" ht="42" hidden="false" customHeight="true" outlineLevel="0" collapsed="false">
      <c r="A74" s="51" t="n">
        <v>70</v>
      </c>
      <c r="B74" s="51" t="s">
        <v>440</v>
      </c>
      <c r="C74" s="51" t="s">
        <v>441</v>
      </c>
      <c r="D74" s="52" t="s">
        <v>23</v>
      </c>
      <c r="E74" s="52" t="s">
        <v>442</v>
      </c>
      <c r="F74" s="52" t="s">
        <v>443</v>
      </c>
      <c r="G74" s="52" t="s">
        <v>444</v>
      </c>
      <c r="H74" s="52" t="n">
        <v>4</v>
      </c>
      <c r="I74" s="52" t="n">
        <v>4</v>
      </c>
      <c r="J74" s="52" t="n">
        <v>5</v>
      </c>
      <c r="K74" s="52" t="n">
        <v>4</v>
      </c>
      <c r="L74" s="52" t="n">
        <f aca="false">IFERROR(H74+I74+J74+K74,"")</f>
        <v>17</v>
      </c>
      <c r="M74" s="52"/>
      <c r="N74" s="52" t="s">
        <v>445</v>
      </c>
      <c r="O74" s="52" t="s">
        <v>446</v>
      </c>
      <c r="P74" s="52" t="s">
        <v>447</v>
      </c>
      <c r="Q74" s="52" t="s">
        <v>312</v>
      </c>
      <c r="R74" s="24"/>
      <c r="S74" s="24"/>
      <c r="T74" s="24"/>
      <c r="U74" s="24"/>
      <c r="V74" s="24"/>
      <c r="W74" s="24"/>
      <c r="X74" s="24"/>
      <c r="Y74" s="24"/>
      <c r="Z74" s="25" t="n">
        <f aca="false">IFERROR(SUM(R74:Y74),"")</f>
        <v>0</v>
      </c>
    </row>
    <row r="75" customFormat="false" ht="42" hidden="false" customHeight="true" outlineLevel="0" collapsed="false">
      <c r="A75" s="51" t="n">
        <v>71</v>
      </c>
      <c r="B75" s="51" t="s">
        <v>448</v>
      </c>
      <c r="C75" s="51" t="s">
        <v>449</v>
      </c>
      <c r="D75" s="52" t="s">
        <v>23</v>
      </c>
      <c r="E75" s="52" t="s">
        <v>442</v>
      </c>
      <c r="F75" s="52" t="s">
        <v>443</v>
      </c>
      <c r="G75" s="52" t="s">
        <v>444</v>
      </c>
      <c r="H75" s="52" t="n">
        <v>4</v>
      </c>
      <c r="I75" s="52" t="n">
        <v>4</v>
      </c>
      <c r="J75" s="52" t="n">
        <v>5</v>
      </c>
      <c r="K75" s="52" t="n">
        <v>4</v>
      </c>
      <c r="L75" s="52" t="n">
        <f aca="false">IFERROR(H75+I75+J75+K75,"")</f>
        <v>17</v>
      </c>
      <c r="M75" s="52"/>
      <c r="N75" s="52" t="s">
        <v>445</v>
      </c>
      <c r="O75" s="52" t="s">
        <v>450</v>
      </c>
      <c r="P75" s="52" t="s">
        <v>451</v>
      </c>
      <c r="Q75" s="52" t="s">
        <v>312</v>
      </c>
      <c r="R75" s="24"/>
      <c r="S75" s="24"/>
      <c r="T75" s="24"/>
      <c r="U75" s="24"/>
      <c r="V75" s="24"/>
      <c r="W75" s="24"/>
      <c r="X75" s="24"/>
      <c r="Y75" s="24"/>
      <c r="Z75" s="25" t="n">
        <f aca="false">IFERROR(SUM(R75:Y75),"")</f>
        <v>0</v>
      </c>
    </row>
    <row r="76" customFormat="false" ht="42" hidden="false" customHeight="true" outlineLevel="0" collapsed="false">
      <c r="A76" s="33" t="n">
        <v>72</v>
      </c>
      <c r="B76" s="33" t="s">
        <v>452</v>
      </c>
      <c r="C76" s="33" t="s">
        <v>453</v>
      </c>
      <c r="D76" s="34" t="s">
        <v>84</v>
      </c>
      <c r="E76" s="34" t="s">
        <v>454</v>
      </c>
      <c r="F76" s="34" t="s">
        <v>455</v>
      </c>
      <c r="G76" s="34" t="s">
        <v>456</v>
      </c>
      <c r="H76" s="34" t="n">
        <v>4</v>
      </c>
      <c r="I76" s="34" t="n">
        <v>4</v>
      </c>
      <c r="J76" s="34" t="n">
        <v>4</v>
      </c>
      <c r="K76" s="34" t="n">
        <v>4</v>
      </c>
      <c r="L76" s="34" t="n">
        <f aca="false">IFERROR(H76+I76+J76+K76,"")</f>
        <v>16</v>
      </c>
      <c r="M76" s="34"/>
      <c r="N76" s="34" t="s">
        <v>457</v>
      </c>
      <c r="O76" s="34" t="s">
        <v>458</v>
      </c>
      <c r="P76" s="34" t="s">
        <v>459</v>
      </c>
      <c r="Q76" s="34" t="s">
        <v>138</v>
      </c>
      <c r="R76" s="24"/>
      <c r="S76" s="24"/>
      <c r="T76" s="24"/>
      <c r="U76" s="24"/>
      <c r="V76" s="24"/>
      <c r="W76" s="24"/>
      <c r="X76" s="24"/>
      <c r="Y76" s="24"/>
      <c r="Z76" s="25" t="n">
        <f aca="false">IFERROR(SUM(R76:Y76),"")</f>
        <v>0</v>
      </c>
    </row>
    <row r="77" customFormat="false" ht="42" hidden="false" customHeight="true" outlineLevel="0" collapsed="false">
      <c r="A77" s="53" t="n">
        <v>73</v>
      </c>
      <c r="B77" s="53" t="s">
        <v>460</v>
      </c>
      <c r="C77" s="53" t="s">
        <v>461</v>
      </c>
      <c r="D77" s="54" t="s">
        <v>84</v>
      </c>
      <c r="E77" s="54" t="s">
        <v>462</v>
      </c>
      <c r="F77" s="54" t="s">
        <v>463</v>
      </c>
      <c r="G77" s="54" t="s">
        <v>464</v>
      </c>
      <c r="H77" s="54" t="n">
        <v>4</v>
      </c>
      <c r="I77" s="54" t="n">
        <v>4</v>
      </c>
      <c r="J77" s="54" t="n">
        <v>4</v>
      </c>
      <c r="K77" s="54" t="n">
        <v>4</v>
      </c>
      <c r="L77" s="54" t="n">
        <f aca="false">IFERROR(H77+I77+J77+K77,"")</f>
        <v>16</v>
      </c>
      <c r="M77" s="54"/>
      <c r="N77" s="54" t="s">
        <v>465</v>
      </c>
      <c r="O77" s="54" t="s">
        <v>466</v>
      </c>
      <c r="P77" s="54" t="s">
        <v>467</v>
      </c>
      <c r="Q77" s="54" t="s">
        <v>138</v>
      </c>
      <c r="R77" s="24"/>
      <c r="S77" s="24"/>
      <c r="T77" s="24"/>
      <c r="U77" s="24"/>
      <c r="V77" s="24"/>
      <c r="W77" s="24"/>
      <c r="X77" s="24"/>
      <c r="Y77" s="24"/>
      <c r="Z77" s="25" t="n">
        <f aca="false">IFERROR(SUM(R77:Y77),"")</f>
        <v>0</v>
      </c>
    </row>
    <row r="78" customFormat="false" ht="42" hidden="false" customHeight="true" outlineLevel="0" collapsed="false">
      <c r="A78" s="53" t="n">
        <v>74</v>
      </c>
      <c r="B78" s="53" t="s">
        <v>468</v>
      </c>
      <c r="C78" s="53" t="s">
        <v>469</v>
      </c>
      <c r="D78" s="54" t="s">
        <v>23</v>
      </c>
      <c r="E78" s="54" t="s">
        <v>462</v>
      </c>
      <c r="F78" s="54" t="s">
        <v>463</v>
      </c>
      <c r="G78" s="54" t="s">
        <v>464</v>
      </c>
      <c r="H78" s="54" t="n">
        <v>4</v>
      </c>
      <c r="I78" s="54" t="n">
        <v>4</v>
      </c>
      <c r="J78" s="54" t="n">
        <v>4</v>
      </c>
      <c r="K78" s="54" t="n">
        <v>4</v>
      </c>
      <c r="L78" s="54" t="n">
        <f aca="false">IFERROR(H78+I78+J78+K78,"")</f>
        <v>16</v>
      </c>
      <c r="M78" s="54"/>
      <c r="N78" s="54" t="s">
        <v>465</v>
      </c>
      <c r="O78" s="54" t="s">
        <v>470</v>
      </c>
      <c r="P78" s="54" t="s">
        <v>471</v>
      </c>
      <c r="Q78" s="54" t="s">
        <v>312</v>
      </c>
      <c r="R78" s="24"/>
      <c r="S78" s="24"/>
      <c r="T78" s="24"/>
      <c r="U78" s="24"/>
      <c r="V78" s="24"/>
      <c r="W78" s="24"/>
      <c r="X78" s="24"/>
      <c r="Y78" s="24"/>
      <c r="Z78" s="25" t="n">
        <f aca="false">IFERROR(SUM(R78:Y78),"")</f>
        <v>0</v>
      </c>
    </row>
    <row r="79" customFormat="false" ht="42" hidden="false" customHeight="true" outlineLevel="0" collapsed="false">
      <c r="A79" s="33" t="n">
        <v>75</v>
      </c>
      <c r="B79" s="33" t="s">
        <v>472</v>
      </c>
      <c r="C79" s="33" t="s">
        <v>473</v>
      </c>
      <c r="D79" s="34" t="s">
        <v>23</v>
      </c>
      <c r="E79" s="34" t="s">
        <v>454</v>
      </c>
      <c r="F79" s="34" t="s">
        <v>455</v>
      </c>
      <c r="G79" s="34" t="s">
        <v>456</v>
      </c>
      <c r="H79" s="34" t="n">
        <v>4</v>
      </c>
      <c r="I79" s="34" t="n">
        <v>4</v>
      </c>
      <c r="J79" s="34" t="n">
        <v>4</v>
      </c>
      <c r="K79" s="34" t="n">
        <v>4</v>
      </c>
      <c r="L79" s="34" t="n">
        <f aca="false">IFERROR(H79+I79+J79+K79,"")</f>
        <v>16</v>
      </c>
      <c r="M79" s="34"/>
      <c r="N79" s="34" t="s">
        <v>457</v>
      </c>
      <c r="O79" s="34" t="s">
        <v>474</v>
      </c>
      <c r="P79" s="34" t="s">
        <v>475</v>
      </c>
      <c r="Q79" s="34" t="s">
        <v>312</v>
      </c>
      <c r="R79" s="24"/>
      <c r="S79" s="24"/>
      <c r="T79" s="24"/>
      <c r="U79" s="24"/>
      <c r="V79" s="24"/>
      <c r="W79" s="24"/>
      <c r="X79" s="24"/>
      <c r="Y79" s="24"/>
      <c r="Z79" s="25" t="n">
        <f aca="false">IFERROR(SUM(R79:Y79),"")</f>
        <v>0</v>
      </c>
    </row>
    <row r="80" customFormat="false" ht="42" hidden="false" customHeight="true" outlineLevel="0" collapsed="false">
      <c r="A80" s="53" t="n">
        <v>76</v>
      </c>
      <c r="B80" s="53" t="s">
        <v>476</v>
      </c>
      <c r="C80" s="53" t="s">
        <v>477</v>
      </c>
      <c r="D80" s="54" t="s">
        <v>23</v>
      </c>
      <c r="E80" s="54" t="s">
        <v>462</v>
      </c>
      <c r="F80" s="54" t="s">
        <v>463</v>
      </c>
      <c r="G80" s="54" t="s">
        <v>464</v>
      </c>
      <c r="H80" s="54" t="n">
        <v>4</v>
      </c>
      <c r="I80" s="54" t="n">
        <v>4</v>
      </c>
      <c r="J80" s="54" t="n">
        <v>4</v>
      </c>
      <c r="K80" s="54" t="n">
        <v>4</v>
      </c>
      <c r="L80" s="54" t="n">
        <f aca="false">IFERROR(H80+I80+J80+K80,"")</f>
        <v>16</v>
      </c>
      <c r="M80" s="54"/>
      <c r="N80" s="54" t="s">
        <v>465</v>
      </c>
      <c r="O80" s="54" t="s">
        <v>478</v>
      </c>
      <c r="P80" s="54" t="s">
        <v>479</v>
      </c>
      <c r="Q80" s="54" t="s">
        <v>312</v>
      </c>
      <c r="R80" s="24"/>
      <c r="S80" s="24"/>
      <c r="T80" s="24"/>
      <c r="U80" s="24"/>
      <c r="V80" s="24"/>
      <c r="W80" s="24"/>
      <c r="X80" s="24"/>
      <c r="Y80" s="24"/>
      <c r="Z80" s="25" t="n">
        <f aca="false">IFERROR(SUM(R80:Y80),"")</f>
        <v>0</v>
      </c>
    </row>
    <row r="81" customFormat="false" ht="42" hidden="false" customHeight="true" outlineLevel="0" collapsed="false">
      <c r="A81" s="53" t="n">
        <v>77</v>
      </c>
      <c r="B81" s="53" t="s">
        <v>480</v>
      </c>
      <c r="C81" s="53" t="s">
        <v>481</v>
      </c>
      <c r="D81" s="54" t="s">
        <v>23</v>
      </c>
      <c r="E81" s="54" t="s">
        <v>462</v>
      </c>
      <c r="F81" s="54" t="s">
        <v>463</v>
      </c>
      <c r="G81" s="54" t="s">
        <v>464</v>
      </c>
      <c r="H81" s="54" t="n">
        <v>4</v>
      </c>
      <c r="I81" s="54" t="n">
        <v>4</v>
      </c>
      <c r="J81" s="54" t="n">
        <v>4</v>
      </c>
      <c r="K81" s="54" t="n">
        <v>4</v>
      </c>
      <c r="L81" s="54" t="n">
        <f aca="false">IFERROR(H81+I81+J81+K81,"")</f>
        <v>16</v>
      </c>
      <c r="M81" s="54"/>
      <c r="N81" s="54" t="s">
        <v>465</v>
      </c>
      <c r="O81" s="54" t="s">
        <v>482</v>
      </c>
      <c r="P81" s="54" t="s">
        <v>483</v>
      </c>
      <c r="Q81" s="54" t="s">
        <v>312</v>
      </c>
      <c r="R81" s="24"/>
      <c r="S81" s="24"/>
      <c r="T81" s="24"/>
      <c r="U81" s="24"/>
      <c r="V81" s="24"/>
      <c r="W81" s="24"/>
      <c r="X81" s="24"/>
      <c r="Y81" s="24"/>
      <c r="Z81" s="25" t="n">
        <f aca="false">IFERROR(SUM(R81:Y81),"")</f>
        <v>0</v>
      </c>
    </row>
    <row r="82" customFormat="false" ht="42" hidden="false" customHeight="true" outlineLevel="0" collapsed="false">
      <c r="A82" s="53" t="n">
        <v>78</v>
      </c>
      <c r="B82" s="53" t="s">
        <v>484</v>
      </c>
      <c r="C82" s="53" t="s">
        <v>485</v>
      </c>
      <c r="D82" s="54" t="s">
        <v>23</v>
      </c>
      <c r="E82" s="54" t="s">
        <v>462</v>
      </c>
      <c r="F82" s="54" t="s">
        <v>463</v>
      </c>
      <c r="G82" s="54" t="s">
        <v>464</v>
      </c>
      <c r="H82" s="54" t="n">
        <v>4</v>
      </c>
      <c r="I82" s="54" t="n">
        <v>4</v>
      </c>
      <c r="J82" s="54" t="n">
        <v>4</v>
      </c>
      <c r="K82" s="54" t="n">
        <v>4</v>
      </c>
      <c r="L82" s="54" t="n">
        <f aca="false">IFERROR(H82+I82+J82+K82,"")</f>
        <v>16</v>
      </c>
      <c r="M82" s="54"/>
      <c r="N82" s="54" t="s">
        <v>465</v>
      </c>
      <c r="O82" s="54" t="s">
        <v>486</v>
      </c>
      <c r="P82" s="54" t="s">
        <v>487</v>
      </c>
      <c r="Q82" s="54" t="s">
        <v>312</v>
      </c>
      <c r="R82" s="24"/>
      <c r="S82" s="24"/>
      <c r="T82" s="24"/>
      <c r="U82" s="24"/>
      <c r="V82" s="24"/>
      <c r="W82" s="24"/>
      <c r="X82" s="24"/>
      <c r="Y82" s="24"/>
      <c r="Z82" s="25" t="n">
        <f aca="false">IFERROR(SUM(R82:Y82),"")</f>
        <v>0</v>
      </c>
    </row>
    <row r="83" customFormat="false" ht="42" hidden="false" customHeight="true" outlineLevel="0" collapsed="false">
      <c r="A83" s="53" t="n">
        <v>79</v>
      </c>
      <c r="B83" s="53" t="s">
        <v>488</v>
      </c>
      <c r="C83" s="53" t="s">
        <v>489</v>
      </c>
      <c r="D83" s="54" t="s">
        <v>23</v>
      </c>
      <c r="E83" s="54" t="s">
        <v>462</v>
      </c>
      <c r="F83" s="54" t="s">
        <v>463</v>
      </c>
      <c r="G83" s="54" t="s">
        <v>464</v>
      </c>
      <c r="H83" s="54" t="n">
        <v>4</v>
      </c>
      <c r="I83" s="54" t="n">
        <v>4</v>
      </c>
      <c r="J83" s="54" t="n">
        <v>4</v>
      </c>
      <c r="K83" s="54" t="n">
        <v>4</v>
      </c>
      <c r="L83" s="54" t="n">
        <f aca="false">IFERROR(H83+I83+J83+K83,"")</f>
        <v>16</v>
      </c>
      <c r="M83" s="54"/>
      <c r="N83" s="54" t="s">
        <v>465</v>
      </c>
      <c r="O83" s="54" t="s">
        <v>490</v>
      </c>
      <c r="P83" s="54" t="s">
        <v>491</v>
      </c>
      <c r="Q83" s="54" t="s">
        <v>312</v>
      </c>
      <c r="R83" s="24"/>
      <c r="S83" s="24"/>
      <c r="T83" s="24"/>
      <c r="U83" s="24"/>
      <c r="V83" s="24"/>
      <c r="W83" s="24"/>
      <c r="X83" s="24"/>
      <c r="Y83" s="24"/>
      <c r="Z83" s="25" t="n">
        <f aca="false">IFERROR(SUM(R83:Y83),"")</f>
        <v>0</v>
      </c>
    </row>
    <row r="84" customFormat="false" ht="42" hidden="false" customHeight="true" outlineLevel="0" collapsed="false">
      <c r="A84" s="33" t="n">
        <v>80</v>
      </c>
      <c r="B84" s="33" t="s">
        <v>492</v>
      </c>
      <c r="C84" s="33" t="s">
        <v>493</v>
      </c>
      <c r="D84" s="34" t="s">
        <v>23</v>
      </c>
      <c r="E84" s="34" t="s">
        <v>454</v>
      </c>
      <c r="F84" s="34" t="s">
        <v>455</v>
      </c>
      <c r="G84" s="34" t="s">
        <v>456</v>
      </c>
      <c r="H84" s="34" t="n">
        <v>4</v>
      </c>
      <c r="I84" s="34" t="n">
        <v>4</v>
      </c>
      <c r="J84" s="34" t="n">
        <v>4</v>
      </c>
      <c r="K84" s="34" t="n">
        <v>4</v>
      </c>
      <c r="L84" s="34" t="n">
        <f aca="false">IFERROR(H84+I84+J84+K84,"")</f>
        <v>16</v>
      </c>
      <c r="M84" s="34"/>
      <c r="N84" s="34" t="s">
        <v>457</v>
      </c>
      <c r="O84" s="34" t="s">
        <v>494</v>
      </c>
      <c r="P84" s="34" t="s">
        <v>495</v>
      </c>
      <c r="Q84" s="34" t="s">
        <v>312</v>
      </c>
      <c r="R84" s="24"/>
      <c r="S84" s="24"/>
      <c r="T84" s="24"/>
      <c r="U84" s="24"/>
      <c r="V84" s="24"/>
      <c r="W84" s="24"/>
      <c r="X84" s="24"/>
      <c r="Y84" s="24"/>
      <c r="Z84" s="25" t="n">
        <f aca="false">IFERROR(SUM(R84:Y84),"")</f>
        <v>0</v>
      </c>
    </row>
    <row r="85" customFormat="false" ht="42" hidden="false" customHeight="true" outlineLevel="0" collapsed="false">
      <c r="A85" s="53" t="n">
        <v>81</v>
      </c>
      <c r="B85" s="53" t="s">
        <v>496</v>
      </c>
      <c r="C85" s="53" t="s">
        <v>497</v>
      </c>
      <c r="D85" s="54" t="s">
        <v>23</v>
      </c>
      <c r="E85" s="54" t="s">
        <v>462</v>
      </c>
      <c r="F85" s="54" t="s">
        <v>463</v>
      </c>
      <c r="G85" s="54" t="s">
        <v>464</v>
      </c>
      <c r="H85" s="54" t="n">
        <v>4</v>
      </c>
      <c r="I85" s="54" t="n">
        <v>4</v>
      </c>
      <c r="J85" s="54" t="n">
        <v>4</v>
      </c>
      <c r="K85" s="54" t="n">
        <v>4</v>
      </c>
      <c r="L85" s="54" t="n">
        <f aca="false">IFERROR(H85+I85+J85+K85,"")</f>
        <v>16</v>
      </c>
      <c r="M85" s="54"/>
      <c r="N85" s="54" t="s">
        <v>465</v>
      </c>
      <c r="O85" s="54" t="s">
        <v>498</v>
      </c>
      <c r="P85" s="54" t="s">
        <v>499</v>
      </c>
      <c r="Q85" s="54" t="s">
        <v>312</v>
      </c>
      <c r="R85" s="24"/>
      <c r="S85" s="24"/>
      <c r="T85" s="24"/>
      <c r="U85" s="24"/>
      <c r="V85" s="24"/>
      <c r="W85" s="24"/>
      <c r="X85" s="24"/>
      <c r="Y85" s="24"/>
      <c r="Z85" s="25" t="n">
        <f aca="false">IFERROR(SUM(R85:Y85),"")</f>
        <v>0</v>
      </c>
    </row>
    <row r="86" customFormat="false" ht="42" hidden="false" customHeight="true" outlineLevel="0" collapsed="false">
      <c r="A86" s="53" t="n">
        <v>82</v>
      </c>
      <c r="B86" s="53" t="s">
        <v>500</v>
      </c>
      <c r="C86" s="53" t="s">
        <v>501</v>
      </c>
      <c r="D86" s="54" t="s">
        <v>23</v>
      </c>
      <c r="E86" s="54" t="s">
        <v>462</v>
      </c>
      <c r="F86" s="54" t="s">
        <v>463</v>
      </c>
      <c r="G86" s="54" t="s">
        <v>464</v>
      </c>
      <c r="H86" s="54" t="n">
        <v>4</v>
      </c>
      <c r="I86" s="54" t="n">
        <v>4</v>
      </c>
      <c r="J86" s="54" t="n">
        <v>4</v>
      </c>
      <c r="K86" s="54" t="n">
        <v>4</v>
      </c>
      <c r="L86" s="54" t="n">
        <f aca="false">IFERROR(H86+I86+J86+K86,"")</f>
        <v>16</v>
      </c>
      <c r="M86" s="54"/>
      <c r="N86" s="54" t="s">
        <v>465</v>
      </c>
      <c r="O86" s="54" t="s">
        <v>502</v>
      </c>
      <c r="P86" s="54" t="s">
        <v>503</v>
      </c>
      <c r="Q86" s="54" t="s">
        <v>312</v>
      </c>
      <c r="R86" s="24"/>
      <c r="S86" s="24"/>
      <c r="T86" s="24"/>
      <c r="U86" s="24"/>
      <c r="V86" s="24"/>
      <c r="W86" s="24"/>
      <c r="X86" s="24"/>
      <c r="Y86" s="24"/>
      <c r="Z86" s="25" t="n">
        <f aca="false">IFERROR(SUM(R86:Y86),"")</f>
        <v>0</v>
      </c>
    </row>
    <row r="87" customFormat="false" ht="42" hidden="false" customHeight="true" outlineLevel="0" collapsed="false">
      <c r="A87" s="53" t="n">
        <v>83</v>
      </c>
      <c r="B87" s="53" t="s">
        <v>504</v>
      </c>
      <c r="C87" s="53" t="s">
        <v>505</v>
      </c>
      <c r="D87" s="54" t="s">
        <v>23</v>
      </c>
      <c r="E87" s="54" t="s">
        <v>462</v>
      </c>
      <c r="F87" s="54" t="s">
        <v>463</v>
      </c>
      <c r="G87" s="54" t="s">
        <v>464</v>
      </c>
      <c r="H87" s="54" t="n">
        <v>4</v>
      </c>
      <c r="I87" s="54" t="n">
        <v>4</v>
      </c>
      <c r="J87" s="54" t="n">
        <v>4</v>
      </c>
      <c r="K87" s="54" t="n">
        <v>4</v>
      </c>
      <c r="L87" s="54" t="n">
        <f aca="false">IFERROR(H87+I87+J87+K87,"")</f>
        <v>16</v>
      </c>
      <c r="M87" s="54"/>
      <c r="N87" s="54" t="s">
        <v>465</v>
      </c>
      <c r="O87" s="54" t="s">
        <v>506</v>
      </c>
      <c r="P87" s="54" t="s">
        <v>507</v>
      </c>
      <c r="Q87" s="54" t="s">
        <v>312</v>
      </c>
      <c r="R87" s="24"/>
      <c r="S87" s="24"/>
      <c r="T87" s="24"/>
      <c r="U87" s="24"/>
      <c r="V87" s="24"/>
      <c r="W87" s="24"/>
      <c r="X87" s="24"/>
      <c r="Y87" s="24"/>
      <c r="Z87" s="25" t="n">
        <f aca="false">IFERROR(SUM(R87:Y87),"")</f>
        <v>0</v>
      </c>
    </row>
    <row r="88" customFormat="false" ht="42" hidden="false" customHeight="true" outlineLevel="0" collapsed="false">
      <c r="A88" s="33" t="n">
        <v>84</v>
      </c>
      <c r="B88" s="33" t="s">
        <v>508</v>
      </c>
      <c r="C88" s="33" t="s">
        <v>509</v>
      </c>
      <c r="D88" s="34" t="s">
        <v>23</v>
      </c>
      <c r="E88" s="34" t="s">
        <v>454</v>
      </c>
      <c r="F88" s="34" t="s">
        <v>455</v>
      </c>
      <c r="G88" s="34" t="s">
        <v>456</v>
      </c>
      <c r="H88" s="34" t="n">
        <v>4</v>
      </c>
      <c r="I88" s="34" t="n">
        <v>4</v>
      </c>
      <c r="J88" s="34" t="n">
        <v>4</v>
      </c>
      <c r="K88" s="34" t="n">
        <v>4</v>
      </c>
      <c r="L88" s="34" t="n">
        <f aca="false">IFERROR(H88+I88+J88+K88,"")</f>
        <v>16</v>
      </c>
      <c r="M88" s="34"/>
      <c r="N88" s="34" t="s">
        <v>457</v>
      </c>
      <c r="O88" s="34" t="s">
        <v>510</v>
      </c>
      <c r="P88" s="34" t="s">
        <v>511</v>
      </c>
      <c r="Q88" s="34" t="s">
        <v>312</v>
      </c>
      <c r="R88" s="24"/>
      <c r="S88" s="24"/>
      <c r="T88" s="24"/>
      <c r="U88" s="24"/>
      <c r="V88" s="24"/>
      <c r="W88" s="24"/>
      <c r="X88" s="24"/>
      <c r="Y88" s="24"/>
      <c r="Z88" s="25" t="n">
        <f aca="false">IFERROR(SUM(R88:Y88),"")</f>
        <v>0</v>
      </c>
    </row>
    <row r="89" customFormat="false" ht="42" hidden="false" customHeight="true" outlineLevel="0" collapsed="false">
      <c r="A89" s="53" t="n">
        <v>85</v>
      </c>
      <c r="B89" s="53" t="s">
        <v>512</v>
      </c>
      <c r="C89" s="53" t="s">
        <v>513</v>
      </c>
      <c r="D89" s="54" t="s">
        <v>23</v>
      </c>
      <c r="E89" s="54" t="s">
        <v>462</v>
      </c>
      <c r="F89" s="54" t="s">
        <v>463</v>
      </c>
      <c r="G89" s="54" t="s">
        <v>464</v>
      </c>
      <c r="H89" s="54" t="n">
        <v>4</v>
      </c>
      <c r="I89" s="54" t="n">
        <v>4</v>
      </c>
      <c r="J89" s="54" t="n">
        <v>4</v>
      </c>
      <c r="K89" s="54" t="n">
        <v>4</v>
      </c>
      <c r="L89" s="54" t="n">
        <f aca="false">IFERROR(H89+I89+J89+K89,"")</f>
        <v>16</v>
      </c>
      <c r="M89" s="54"/>
      <c r="N89" s="54" t="s">
        <v>465</v>
      </c>
      <c r="O89" s="54" t="s">
        <v>514</v>
      </c>
      <c r="P89" s="54" t="s">
        <v>515</v>
      </c>
      <c r="Q89" s="54" t="s">
        <v>312</v>
      </c>
      <c r="R89" s="24"/>
      <c r="S89" s="24"/>
      <c r="T89" s="24"/>
      <c r="U89" s="24"/>
      <c r="V89" s="24"/>
      <c r="W89" s="24"/>
      <c r="X89" s="24"/>
      <c r="Y89" s="24"/>
      <c r="Z89" s="25" t="n">
        <f aca="false">IFERROR(SUM(R89:Y89),"")</f>
        <v>0</v>
      </c>
    </row>
    <row r="90" customFormat="false" ht="42" hidden="false" customHeight="true" outlineLevel="0" collapsed="false">
      <c r="A90" s="53" t="n">
        <v>86</v>
      </c>
      <c r="B90" s="53" t="s">
        <v>516</v>
      </c>
      <c r="C90" s="53" t="s">
        <v>517</v>
      </c>
      <c r="D90" s="54" t="s">
        <v>23</v>
      </c>
      <c r="E90" s="54" t="s">
        <v>462</v>
      </c>
      <c r="F90" s="54" t="s">
        <v>463</v>
      </c>
      <c r="G90" s="54" t="s">
        <v>464</v>
      </c>
      <c r="H90" s="54" t="n">
        <v>4</v>
      </c>
      <c r="I90" s="54" t="n">
        <v>4</v>
      </c>
      <c r="J90" s="54" t="n">
        <v>4</v>
      </c>
      <c r="K90" s="54" t="n">
        <v>4</v>
      </c>
      <c r="L90" s="54" t="n">
        <f aca="false">IFERROR(H90+I90+J90+K90,"")</f>
        <v>16</v>
      </c>
      <c r="M90" s="54"/>
      <c r="N90" s="54" t="s">
        <v>465</v>
      </c>
      <c r="O90" s="54" t="s">
        <v>518</v>
      </c>
      <c r="P90" s="54" t="s">
        <v>519</v>
      </c>
      <c r="Q90" s="54" t="s">
        <v>312</v>
      </c>
      <c r="R90" s="24"/>
      <c r="S90" s="24"/>
      <c r="T90" s="24"/>
      <c r="U90" s="24"/>
      <c r="V90" s="24"/>
      <c r="W90" s="24"/>
      <c r="X90" s="24"/>
      <c r="Y90" s="24"/>
      <c r="Z90" s="25" t="n">
        <f aca="false">IFERROR(SUM(R90:Y90),"")</f>
        <v>0</v>
      </c>
    </row>
    <row r="91" customFormat="false" ht="42" hidden="false" customHeight="true" outlineLevel="0" collapsed="false">
      <c r="A91" s="33" t="n">
        <v>87</v>
      </c>
      <c r="B91" s="33" t="s">
        <v>520</v>
      </c>
      <c r="C91" s="33" t="s">
        <v>521</v>
      </c>
      <c r="D91" s="34" t="s">
        <v>23</v>
      </c>
      <c r="E91" s="34" t="s">
        <v>454</v>
      </c>
      <c r="F91" s="34" t="s">
        <v>455</v>
      </c>
      <c r="G91" s="34" t="s">
        <v>456</v>
      </c>
      <c r="H91" s="34" t="n">
        <v>4</v>
      </c>
      <c r="I91" s="34" t="n">
        <v>4</v>
      </c>
      <c r="J91" s="34" t="n">
        <v>4</v>
      </c>
      <c r="K91" s="34" t="n">
        <v>4</v>
      </c>
      <c r="L91" s="34" t="n">
        <f aca="false">IFERROR(H91+I91+J91+K91,"")</f>
        <v>16</v>
      </c>
      <c r="M91" s="34"/>
      <c r="N91" s="34" t="s">
        <v>457</v>
      </c>
      <c r="O91" s="34" t="s">
        <v>522</v>
      </c>
      <c r="P91" s="34" t="s">
        <v>523</v>
      </c>
      <c r="Q91" s="34" t="s">
        <v>312</v>
      </c>
      <c r="R91" s="24"/>
      <c r="S91" s="24"/>
      <c r="T91" s="24"/>
      <c r="U91" s="24"/>
      <c r="V91" s="24"/>
      <c r="W91" s="24"/>
      <c r="X91" s="24"/>
      <c r="Y91" s="24"/>
      <c r="Z91" s="25" t="n">
        <f aca="false">IFERROR(SUM(R91:Y91),"")</f>
        <v>0</v>
      </c>
    </row>
    <row r="92" customFormat="false" ht="42" hidden="false" customHeight="true" outlineLevel="0" collapsed="false">
      <c r="A92" s="53" t="n">
        <v>88</v>
      </c>
      <c r="B92" s="53" t="s">
        <v>524</v>
      </c>
      <c r="C92" s="53" t="s">
        <v>525</v>
      </c>
      <c r="D92" s="54" t="s">
        <v>23</v>
      </c>
      <c r="E92" s="54" t="s">
        <v>462</v>
      </c>
      <c r="F92" s="54" t="s">
        <v>463</v>
      </c>
      <c r="G92" s="54" t="s">
        <v>464</v>
      </c>
      <c r="H92" s="54" t="n">
        <v>4</v>
      </c>
      <c r="I92" s="54" t="n">
        <v>4</v>
      </c>
      <c r="J92" s="54" t="n">
        <v>4</v>
      </c>
      <c r="K92" s="54" t="n">
        <v>4</v>
      </c>
      <c r="L92" s="54" t="n">
        <f aca="false">IFERROR(H92+I92+J92+K92,"")</f>
        <v>16</v>
      </c>
      <c r="M92" s="54"/>
      <c r="N92" s="54" t="s">
        <v>465</v>
      </c>
      <c r="O92" s="54" t="s">
        <v>526</v>
      </c>
      <c r="P92" s="54" t="s">
        <v>527</v>
      </c>
      <c r="Q92" s="54" t="s">
        <v>312</v>
      </c>
      <c r="R92" s="24"/>
      <c r="S92" s="24"/>
      <c r="T92" s="24"/>
      <c r="U92" s="24"/>
      <c r="V92" s="24"/>
      <c r="W92" s="24"/>
      <c r="X92" s="24"/>
      <c r="Y92" s="24"/>
      <c r="Z92" s="25" t="n">
        <f aca="false">IFERROR(SUM(R92:Y92),"")</f>
        <v>0</v>
      </c>
    </row>
    <row r="93" customFormat="false" ht="42" hidden="false" customHeight="true" outlineLevel="0" collapsed="false">
      <c r="A93" s="53" t="n">
        <v>89</v>
      </c>
      <c r="B93" s="53" t="s">
        <v>528</v>
      </c>
      <c r="C93" s="53" t="s">
        <v>529</v>
      </c>
      <c r="D93" s="54" t="s">
        <v>23</v>
      </c>
      <c r="E93" s="54" t="s">
        <v>462</v>
      </c>
      <c r="F93" s="54" t="s">
        <v>463</v>
      </c>
      <c r="G93" s="54" t="s">
        <v>464</v>
      </c>
      <c r="H93" s="54" t="n">
        <v>4</v>
      </c>
      <c r="I93" s="54" t="n">
        <v>4</v>
      </c>
      <c r="J93" s="54" t="n">
        <v>4</v>
      </c>
      <c r="K93" s="54" t="n">
        <v>4</v>
      </c>
      <c r="L93" s="54" t="n">
        <f aca="false">IFERROR(H93+I93+J93+K93,"")</f>
        <v>16</v>
      </c>
      <c r="M93" s="54"/>
      <c r="N93" s="54" t="s">
        <v>465</v>
      </c>
      <c r="O93" s="54" t="s">
        <v>530</v>
      </c>
      <c r="P93" s="54" t="s">
        <v>531</v>
      </c>
      <c r="Q93" s="54" t="s">
        <v>312</v>
      </c>
      <c r="R93" s="24"/>
      <c r="S93" s="24"/>
      <c r="T93" s="24"/>
      <c r="U93" s="24"/>
      <c r="V93" s="24"/>
      <c r="W93" s="24"/>
      <c r="X93" s="24"/>
      <c r="Y93" s="24"/>
      <c r="Z93" s="25" t="n">
        <f aca="false">IFERROR(SUM(R93:Y93),"")</f>
        <v>0</v>
      </c>
    </row>
    <row r="94" customFormat="false" ht="42" hidden="false" customHeight="true" outlineLevel="0" collapsed="false">
      <c r="A94" s="53" t="n">
        <v>90</v>
      </c>
      <c r="B94" s="53" t="s">
        <v>532</v>
      </c>
      <c r="C94" s="53" t="s">
        <v>533</v>
      </c>
      <c r="D94" s="54" t="s">
        <v>23</v>
      </c>
      <c r="E94" s="54" t="s">
        <v>462</v>
      </c>
      <c r="F94" s="54" t="s">
        <v>463</v>
      </c>
      <c r="G94" s="54" t="s">
        <v>464</v>
      </c>
      <c r="H94" s="54" t="n">
        <v>4</v>
      </c>
      <c r="I94" s="54" t="n">
        <v>4</v>
      </c>
      <c r="J94" s="54" t="n">
        <v>4</v>
      </c>
      <c r="K94" s="54" t="n">
        <v>4</v>
      </c>
      <c r="L94" s="54" t="n">
        <f aca="false">IFERROR(H94+I94+J94+K94,"")</f>
        <v>16</v>
      </c>
      <c r="M94" s="54"/>
      <c r="N94" s="54" t="s">
        <v>465</v>
      </c>
      <c r="O94" s="54" t="s">
        <v>534</v>
      </c>
      <c r="P94" s="54" t="s">
        <v>535</v>
      </c>
      <c r="Q94" s="54" t="s">
        <v>312</v>
      </c>
      <c r="R94" s="24"/>
      <c r="S94" s="24"/>
      <c r="T94" s="24"/>
      <c r="U94" s="24"/>
      <c r="V94" s="24"/>
      <c r="W94" s="24"/>
      <c r="X94" s="24"/>
      <c r="Y94" s="24"/>
      <c r="Z94" s="25" t="n">
        <f aca="false">IFERROR(SUM(R94:Y94),"")</f>
        <v>0</v>
      </c>
    </row>
    <row r="95" customFormat="false" ht="42" hidden="false" customHeight="true" outlineLevel="0" collapsed="false">
      <c r="A95" s="53" t="n">
        <v>91</v>
      </c>
      <c r="B95" s="53" t="s">
        <v>536</v>
      </c>
      <c r="C95" s="53" t="s">
        <v>537</v>
      </c>
      <c r="D95" s="54" t="s">
        <v>23</v>
      </c>
      <c r="E95" s="54" t="s">
        <v>462</v>
      </c>
      <c r="F95" s="54" t="s">
        <v>463</v>
      </c>
      <c r="G95" s="54" t="s">
        <v>464</v>
      </c>
      <c r="H95" s="54" t="n">
        <v>4</v>
      </c>
      <c r="I95" s="54" t="n">
        <v>4</v>
      </c>
      <c r="J95" s="54" t="n">
        <v>4</v>
      </c>
      <c r="K95" s="54" t="n">
        <v>4</v>
      </c>
      <c r="L95" s="54" t="n">
        <f aca="false">IFERROR(H95+I95+J95+K95,"")</f>
        <v>16</v>
      </c>
      <c r="M95" s="54"/>
      <c r="N95" s="54" t="s">
        <v>465</v>
      </c>
      <c r="O95" s="54" t="s">
        <v>538</v>
      </c>
      <c r="P95" s="54" t="s">
        <v>539</v>
      </c>
      <c r="Q95" s="54" t="s">
        <v>312</v>
      </c>
      <c r="R95" s="24"/>
      <c r="S95" s="24"/>
      <c r="T95" s="24"/>
      <c r="U95" s="24"/>
      <c r="V95" s="24"/>
      <c r="W95" s="24"/>
      <c r="X95" s="24"/>
      <c r="Y95" s="24"/>
      <c r="Z95" s="25" t="n">
        <f aca="false">IFERROR(SUM(R95:Y95),"")</f>
        <v>0</v>
      </c>
    </row>
    <row r="96" customFormat="false" ht="42" hidden="false" customHeight="true" outlineLevel="0" collapsed="false">
      <c r="A96" s="53" t="n">
        <v>92</v>
      </c>
      <c r="B96" s="53" t="s">
        <v>540</v>
      </c>
      <c r="C96" s="53" t="s">
        <v>541</v>
      </c>
      <c r="D96" s="54" t="s">
        <v>23</v>
      </c>
      <c r="E96" s="54" t="s">
        <v>462</v>
      </c>
      <c r="F96" s="54" t="s">
        <v>463</v>
      </c>
      <c r="G96" s="54" t="s">
        <v>464</v>
      </c>
      <c r="H96" s="54" t="n">
        <v>4</v>
      </c>
      <c r="I96" s="54" t="n">
        <v>4</v>
      </c>
      <c r="J96" s="54" t="n">
        <v>4</v>
      </c>
      <c r="K96" s="54" t="n">
        <v>4</v>
      </c>
      <c r="L96" s="54" t="n">
        <f aca="false">IFERROR(H96+I96+J96+K96,"")</f>
        <v>16</v>
      </c>
      <c r="M96" s="54"/>
      <c r="N96" s="54" t="s">
        <v>465</v>
      </c>
      <c r="O96" s="54" t="s">
        <v>542</v>
      </c>
      <c r="P96" s="54" t="s">
        <v>543</v>
      </c>
      <c r="Q96" s="54" t="s">
        <v>312</v>
      </c>
      <c r="R96" s="24"/>
      <c r="S96" s="24"/>
      <c r="T96" s="24"/>
      <c r="U96" s="24"/>
      <c r="V96" s="24"/>
      <c r="W96" s="24"/>
      <c r="X96" s="24"/>
      <c r="Y96" s="24"/>
      <c r="Z96" s="25" t="n">
        <f aca="false">IFERROR(SUM(R96:Y96),"")</f>
        <v>0</v>
      </c>
    </row>
    <row r="97" customFormat="false" ht="42" hidden="false" customHeight="true" outlineLevel="0" collapsed="false">
      <c r="A97" s="55" t="n">
        <v>93</v>
      </c>
      <c r="B97" s="55" t="s">
        <v>544</v>
      </c>
      <c r="C97" s="55" t="s">
        <v>545</v>
      </c>
      <c r="D97" s="56" t="s">
        <v>23</v>
      </c>
      <c r="E97" s="56" t="s">
        <v>546</v>
      </c>
      <c r="F97" s="56" t="s">
        <v>547</v>
      </c>
      <c r="G97" s="56" t="s">
        <v>548</v>
      </c>
      <c r="H97" s="56" t="n">
        <v>4</v>
      </c>
      <c r="I97" s="56" t="n">
        <v>4</v>
      </c>
      <c r="J97" s="56" t="n">
        <v>4</v>
      </c>
      <c r="K97" s="56" t="n">
        <v>4</v>
      </c>
      <c r="L97" s="56" t="n">
        <f aca="false">IFERROR(H97+I97+J97+K97,"")</f>
        <v>16</v>
      </c>
      <c r="M97" s="56"/>
      <c r="N97" s="56" t="s">
        <v>549</v>
      </c>
      <c r="O97" s="56" t="s">
        <v>550</v>
      </c>
      <c r="P97" s="56" t="s">
        <v>551</v>
      </c>
      <c r="Q97" s="56" t="s">
        <v>312</v>
      </c>
      <c r="R97" s="24"/>
      <c r="S97" s="24"/>
      <c r="T97" s="24"/>
      <c r="U97" s="24"/>
      <c r="V97" s="24"/>
      <c r="W97" s="24"/>
      <c r="X97" s="24"/>
      <c r="Y97" s="24"/>
      <c r="Z97" s="25" t="n">
        <f aca="false">IFERROR(SUM(R97:Y97),"")</f>
        <v>0</v>
      </c>
    </row>
    <row r="98" customFormat="false" ht="42" hidden="false" customHeight="true" outlineLevel="0" collapsed="false">
      <c r="A98" s="55" t="n">
        <v>94</v>
      </c>
      <c r="B98" s="55" t="s">
        <v>552</v>
      </c>
      <c r="C98" s="55" t="s">
        <v>553</v>
      </c>
      <c r="D98" s="56" t="s">
        <v>23</v>
      </c>
      <c r="E98" s="56" t="s">
        <v>546</v>
      </c>
      <c r="F98" s="56" t="s">
        <v>547</v>
      </c>
      <c r="G98" s="56" t="s">
        <v>548</v>
      </c>
      <c r="H98" s="56" t="n">
        <v>4</v>
      </c>
      <c r="I98" s="56" t="n">
        <v>4</v>
      </c>
      <c r="J98" s="56" t="n">
        <v>4</v>
      </c>
      <c r="K98" s="56" t="n">
        <v>4</v>
      </c>
      <c r="L98" s="56" t="n">
        <f aca="false">IFERROR(H98+I98+J98+K98,"")</f>
        <v>16</v>
      </c>
      <c r="M98" s="56"/>
      <c r="N98" s="56" t="s">
        <v>549</v>
      </c>
      <c r="O98" s="56" t="s">
        <v>554</v>
      </c>
      <c r="P98" s="56" t="s">
        <v>555</v>
      </c>
      <c r="Q98" s="56" t="s">
        <v>312</v>
      </c>
      <c r="R98" s="24"/>
      <c r="S98" s="24"/>
      <c r="T98" s="24"/>
      <c r="U98" s="24"/>
      <c r="V98" s="24"/>
      <c r="W98" s="24"/>
      <c r="X98" s="24"/>
      <c r="Y98" s="24"/>
      <c r="Z98" s="25" t="n">
        <f aca="false">IFERROR(SUM(R98:Y98),"")</f>
        <v>0</v>
      </c>
    </row>
    <row r="99" customFormat="false" ht="42" hidden="false" customHeight="true" outlineLevel="0" collapsed="false">
      <c r="A99" s="55" t="n">
        <v>95</v>
      </c>
      <c r="B99" s="55" t="s">
        <v>556</v>
      </c>
      <c r="C99" s="55" t="s">
        <v>557</v>
      </c>
      <c r="D99" s="56" t="s">
        <v>23</v>
      </c>
      <c r="E99" s="56" t="s">
        <v>546</v>
      </c>
      <c r="F99" s="56" t="s">
        <v>547</v>
      </c>
      <c r="G99" s="56" t="s">
        <v>548</v>
      </c>
      <c r="H99" s="56" t="n">
        <v>4</v>
      </c>
      <c r="I99" s="56" t="n">
        <v>4</v>
      </c>
      <c r="J99" s="56" t="n">
        <v>4</v>
      </c>
      <c r="K99" s="56" t="n">
        <v>4</v>
      </c>
      <c r="L99" s="56" t="n">
        <f aca="false">IFERROR(H99+I99+J99+K99,"")</f>
        <v>16</v>
      </c>
      <c r="M99" s="56"/>
      <c r="N99" s="56" t="s">
        <v>549</v>
      </c>
      <c r="O99" s="56" t="s">
        <v>558</v>
      </c>
      <c r="P99" s="56" t="s">
        <v>559</v>
      </c>
      <c r="Q99" s="56" t="s">
        <v>312</v>
      </c>
      <c r="R99" s="24"/>
      <c r="S99" s="24"/>
      <c r="T99" s="24"/>
      <c r="U99" s="24"/>
      <c r="V99" s="24"/>
      <c r="W99" s="24"/>
      <c r="X99" s="24"/>
      <c r="Y99" s="24"/>
      <c r="Z99" s="25" t="n">
        <f aca="false">IFERROR(SUM(R99:Y99),"")</f>
        <v>0</v>
      </c>
    </row>
    <row r="100" customFormat="false" ht="42" hidden="false" customHeight="true" outlineLevel="0" collapsed="false">
      <c r="A100" s="55" t="n">
        <v>96</v>
      </c>
      <c r="B100" s="55" t="s">
        <v>560</v>
      </c>
      <c r="C100" s="55" t="s">
        <v>561</v>
      </c>
      <c r="D100" s="56" t="s">
        <v>23</v>
      </c>
      <c r="E100" s="56" t="s">
        <v>546</v>
      </c>
      <c r="F100" s="56" t="s">
        <v>547</v>
      </c>
      <c r="G100" s="56" t="s">
        <v>548</v>
      </c>
      <c r="H100" s="56" t="n">
        <v>4</v>
      </c>
      <c r="I100" s="56" t="n">
        <v>4</v>
      </c>
      <c r="J100" s="56" t="n">
        <v>4</v>
      </c>
      <c r="K100" s="56" t="n">
        <v>4</v>
      </c>
      <c r="L100" s="56" t="n">
        <f aca="false">IFERROR(H100+I100+J100+K100,"")</f>
        <v>16</v>
      </c>
      <c r="M100" s="56"/>
      <c r="N100" s="56" t="s">
        <v>549</v>
      </c>
      <c r="O100" s="56" t="s">
        <v>562</v>
      </c>
      <c r="P100" s="56" t="s">
        <v>563</v>
      </c>
      <c r="Q100" s="56" t="s">
        <v>312</v>
      </c>
      <c r="R100" s="24"/>
      <c r="S100" s="24"/>
      <c r="T100" s="24"/>
      <c r="U100" s="24"/>
      <c r="V100" s="24"/>
      <c r="W100" s="24"/>
      <c r="X100" s="24"/>
      <c r="Y100" s="24"/>
      <c r="Z100" s="25" t="n">
        <f aca="false">IFERROR(SUM(R100:Y100),"")</f>
        <v>0</v>
      </c>
    </row>
    <row r="101" customFormat="false" ht="42" hidden="false" customHeight="true" outlineLevel="0" collapsed="false">
      <c r="A101" s="53" t="n">
        <v>97</v>
      </c>
      <c r="B101" s="53" t="s">
        <v>564</v>
      </c>
      <c r="C101" s="53" t="s">
        <v>565</v>
      </c>
      <c r="D101" s="54" t="s">
        <v>23</v>
      </c>
      <c r="E101" s="54" t="s">
        <v>462</v>
      </c>
      <c r="F101" s="54" t="s">
        <v>463</v>
      </c>
      <c r="G101" s="54" t="s">
        <v>464</v>
      </c>
      <c r="H101" s="54" t="n">
        <v>4</v>
      </c>
      <c r="I101" s="54" t="n">
        <v>4</v>
      </c>
      <c r="J101" s="54" t="n">
        <v>4</v>
      </c>
      <c r="K101" s="54" t="n">
        <v>4</v>
      </c>
      <c r="L101" s="54" t="n">
        <f aca="false">IFERROR(H101+I101+J101+K101,"")</f>
        <v>16</v>
      </c>
      <c r="M101" s="54"/>
      <c r="N101" s="54" t="s">
        <v>465</v>
      </c>
      <c r="O101" s="54" t="s">
        <v>566</v>
      </c>
      <c r="P101" s="54" t="s">
        <v>567</v>
      </c>
      <c r="Q101" s="54" t="s">
        <v>312</v>
      </c>
      <c r="R101" s="24"/>
      <c r="S101" s="24"/>
      <c r="T101" s="24"/>
      <c r="U101" s="24"/>
      <c r="V101" s="24"/>
      <c r="W101" s="24"/>
      <c r="X101" s="24"/>
      <c r="Y101" s="24"/>
      <c r="Z101" s="25" t="n">
        <f aca="false">IFERROR(SUM(R101:Y101),"")</f>
        <v>0</v>
      </c>
    </row>
    <row r="102" customFormat="false" ht="42" hidden="false" customHeight="true" outlineLevel="0" collapsed="false">
      <c r="A102" s="55" t="n">
        <v>98</v>
      </c>
      <c r="B102" s="55" t="s">
        <v>568</v>
      </c>
      <c r="C102" s="55" t="s">
        <v>569</v>
      </c>
      <c r="D102" s="56" t="s">
        <v>23</v>
      </c>
      <c r="E102" s="56" t="s">
        <v>546</v>
      </c>
      <c r="F102" s="56" t="s">
        <v>547</v>
      </c>
      <c r="G102" s="56" t="s">
        <v>548</v>
      </c>
      <c r="H102" s="56" t="n">
        <v>4</v>
      </c>
      <c r="I102" s="56" t="n">
        <v>4</v>
      </c>
      <c r="J102" s="56" t="n">
        <v>4</v>
      </c>
      <c r="K102" s="56" t="n">
        <v>4</v>
      </c>
      <c r="L102" s="56" t="n">
        <f aca="false">IFERROR(H102+I102+J102+K102,"")</f>
        <v>16</v>
      </c>
      <c r="M102" s="56"/>
      <c r="N102" s="56" t="s">
        <v>549</v>
      </c>
      <c r="O102" s="56" t="s">
        <v>570</v>
      </c>
      <c r="P102" s="56" t="s">
        <v>571</v>
      </c>
      <c r="Q102" s="56" t="s">
        <v>312</v>
      </c>
      <c r="R102" s="24"/>
      <c r="S102" s="24"/>
      <c r="T102" s="24"/>
      <c r="U102" s="24"/>
      <c r="V102" s="24"/>
      <c r="W102" s="24"/>
      <c r="X102" s="24"/>
      <c r="Y102" s="24"/>
      <c r="Z102" s="25" t="n">
        <f aca="false">IFERROR(SUM(R102:Y102),"")</f>
        <v>0</v>
      </c>
    </row>
    <row r="103" customFormat="false" ht="42" hidden="false" customHeight="true" outlineLevel="0" collapsed="false">
      <c r="A103" s="33" t="n">
        <v>99</v>
      </c>
      <c r="B103" s="33" t="s">
        <v>572</v>
      </c>
      <c r="C103" s="33" t="s">
        <v>573</v>
      </c>
      <c r="D103" s="34" t="s">
        <v>23</v>
      </c>
      <c r="E103" s="34" t="s">
        <v>454</v>
      </c>
      <c r="F103" s="34" t="s">
        <v>455</v>
      </c>
      <c r="G103" s="34" t="s">
        <v>456</v>
      </c>
      <c r="H103" s="34" t="n">
        <v>4</v>
      </c>
      <c r="I103" s="34" t="n">
        <v>4</v>
      </c>
      <c r="J103" s="34" t="n">
        <v>4</v>
      </c>
      <c r="K103" s="34" t="n">
        <v>4</v>
      </c>
      <c r="L103" s="34" t="n">
        <f aca="false">IFERROR(H103+I103+J103+K103,"")</f>
        <v>16</v>
      </c>
      <c r="M103" s="34"/>
      <c r="N103" s="34" t="s">
        <v>457</v>
      </c>
      <c r="O103" s="34" t="s">
        <v>574</v>
      </c>
      <c r="P103" s="34" t="s">
        <v>575</v>
      </c>
      <c r="Q103" s="34" t="s">
        <v>312</v>
      </c>
      <c r="R103" s="24"/>
      <c r="S103" s="24"/>
      <c r="T103" s="24"/>
      <c r="U103" s="24"/>
      <c r="V103" s="24"/>
      <c r="W103" s="24"/>
      <c r="X103" s="24"/>
      <c r="Y103" s="24"/>
      <c r="Z103" s="25" t="n">
        <f aca="false">IFERROR(SUM(R103:Y103),"")</f>
        <v>0</v>
      </c>
    </row>
    <row r="104" customFormat="false" ht="42" hidden="false" customHeight="true" outlineLevel="0" collapsed="false">
      <c r="A104" s="33" t="n">
        <v>100</v>
      </c>
      <c r="B104" s="33" t="s">
        <v>576</v>
      </c>
      <c r="C104" s="33" t="s">
        <v>577</v>
      </c>
      <c r="D104" s="34" t="s">
        <v>23</v>
      </c>
      <c r="E104" s="34" t="s">
        <v>454</v>
      </c>
      <c r="F104" s="34" t="s">
        <v>455</v>
      </c>
      <c r="G104" s="34" t="s">
        <v>456</v>
      </c>
      <c r="H104" s="34" t="n">
        <v>4</v>
      </c>
      <c r="I104" s="34" t="n">
        <v>4</v>
      </c>
      <c r="J104" s="34" t="n">
        <v>4</v>
      </c>
      <c r="K104" s="34" t="n">
        <v>4</v>
      </c>
      <c r="L104" s="34" t="n">
        <f aca="false">IFERROR(H104+I104+J104+K104,"")</f>
        <v>16</v>
      </c>
      <c r="M104" s="34"/>
      <c r="N104" s="34" t="s">
        <v>457</v>
      </c>
      <c r="O104" s="34" t="s">
        <v>578</v>
      </c>
      <c r="P104" s="34" t="s">
        <v>579</v>
      </c>
      <c r="Q104" s="34" t="s">
        <v>138</v>
      </c>
      <c r="R104" s="24"/>
      <c r="S104" s="24"/>
      <c r="T104" s="24"/>
      <c r="U104" s="24"/>
      <c r="V104" s="24"/>
      <c r="W104" s="24"/>
      <c r="X104" s="24"/>
      <c r="Y104" s="24"/>
      <c r="Z104" s="25" t="n">
        <f aca="false">IFERROR(SUM(R104:Y104),"")</f>
        <v>0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823"/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22"/>
    <col collapsed="false" customWidth="true" hidden="false" outlineLevel="0" max="11" min="11" style="1" width="28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22"/>
  </cols>
  <sheetData>
    <row r="1" customFormat="false" ht="25.5" hidden="false" customHeight="true" outlineLevel="0" collapsed="false">
      <c r="A1" s="57" t="s">
        <v>580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customFormat="false" ht="36" hidden="false" customHeight="true" outlineLevel="0" collapsed="false">
      <c r="A2" s="32" t="s">
        <v>11</v>
      </c>
      <c r="B2" s="32" t="s">
        <v>120</v>
      </c>
      <c r="C2" s="32" t="s">
        <v>122</v>
      </c>
      <c r="D2" s="32" t="s">
        <v>123</v>
      </c>
      <c r="E2" s="32" t="s">
        <v>44</v>
      </c>
      <c r="F2" s="32" t="s">
        <v>581</v>
      </c>
      <c r="G2" s="32" t="s">
        <v>58</v>
      </c>
      <c r="H2" s="32" t="s">
        <v>582</v>
      </c>
      <c r="I2" s="32" t="s">
        <v>583</v>
      </c>
      <c r="J2" s="32" t="s">
        <v>61</v>
      </c>
      <c r="K2" s="32" t="s">
        <v>584</v>
      </c>
      <c r="L2" s="32" t="s">
        <v>585</v>
      </c>
      <c r="M2" s="32" t="s">
        <v>586</v>
      </c>
      <c r="N2" s="32" t="s">
        <v>125</v>
      </c>
    </row>
    <row r="3" customFormat="false" ht="30" hidden="false" customHeight="true" outlineLevel="0" collapsed="false">
      <c r="A3" s="33" t="s">
        <v>11</v>
      </c>
      <c r="B3" s="33" t="s">
        <v>120</v>
      </c>
      <c r="C3" s="34" t="s">
        <v>122</v>
      </c>
      <c r="D3" s="34"/>
      <c r="E3" s="34" t="s">
        <v>44</v>
      </c>
      <c r="F3" s="34"/>
      <c r="G3" s="34" t="s">
        <v>97</v>
      </c>
      <c r="H3" s="34"/>
      <c r="I3" s="34"/>
      <c r="J3" s="34"/>
      <c r="K3" s="34"/>
      <c r="L3" s="34"/>
      <c r="M3" s="34"/>
      <c r="N3" s="34" t="s">
        <v>125</v>
      </c>
    </row>
    <row r="4" customFormat="false" ht="30" hidden="false" customHeight="true" outlineLevel="0" collapsed="false">
      <c r="A4" s="35" t="n">
        <v>1</v>
      </c>
      <c r="B4" s="35" t="s">
        <v>130</v>
      </c>
      <c r="C4" s="36" t="s">
        <v>84</v>
      </c>
      <c r="D4" s="36"/>
      <c r="E4" s="36" t="s">
        <v>134</v>
      </c>
      <c r="F4" s="36"/>
      <c r="G4" s="36" t="s">
        <v>97</v>
      </c>
      <c r="H4" s="36"/>
      <c r="I4" s="36"/>
      <c r="J4" s="36"/>
      <c r="K4" s="36"/>
      <c r="L4" s="36"/>
      <c r="M4" s="36"/>
      <c r="N4" s="36" t="s">
        <v>138</v>
      </c>
    </row>
    <row r="5" customFormat="false" ht="30" hidden="false" customHeight="true" outlineLevel="0" collapsed="false">
      <c r="A5" s="35" t="n">
        <v>2</v>
      </c>
      <c r="B5" s="35" t="s">
        <v>139</v>
      </c>
      <c r="C5" s="36" t="s">
        <v>84</v>
      </c>
      <c r="D5" s="36"/>
      <c r="E5" s="36" t="s">
        <v>134</v>
      </c>
      <c r="F5" s="36"/>
      <c r="G5" s="36" t="s">
        <v>97</v>
      </c>
      <c r="H5" s="36"/>
      <c r="I5" s="36"/>
      <c r="J5" s="36"/>
      <c r="K5" s="36"/>
      <c r="L5" s="36"/>
      <c r="M5" s="36"/>
      <c r="N5" s="36" t="s">
        <v>138</v>
      </c>
    </row>
    <row r="6" customFormat="false" ht="30" hidden="false" customHeight="true" outlineLevel="0" collapsed="false">
      <c r="A6" s="35" t="n">
        <v>3</v>
      </c>
      <c r="B6" s="35" t="s">
        <v>143</v>
      </c>
      <c r="C6" s="36" t="s">
        <v>84</v>
      </c>
      <c r="D6" s="36"/>
      <c r="E6" s="36" t="s">
        <v>134</v>
      </c>
      <c r="F6" s="36"/>
      <c r="G6" s="36" t="s">
        <v>97</v>
      </c>
      <c r="H6" s="36"/>
      <c r="I6" s="36"/>
      <c r="J6" s="36"/>
      <c r="K6" s="36"/>
      <c r="L6" s="36"/>
      <c r="M6" s="36"/>
      <c r="N6" s="36" t="s">
        <v>138</v>
      </c>
    </row>
    <row r="7" customFormat="false" ht="30" hidden="false" customHeight="true" outlineLevel="0" collapsed="false">
      <c r="A7" s="35" t="n">
        <v>4</v>
      </c>
      <c r="B7" s="35" t="s">
        <v>147</v>
      </c>
      <c r="C7" s="36" t="s">
        <v>84</v>
      </c>
      <c r="D7" s="36"/>
      <c r="E7" s="36" t="s">
        <v>134</v>
      </c>
      <c r="F7" s="36"/>
      <c r="G7" s="36" t="s">
        <v>97</v>
      </c>
      <c r="H7" s="36"/>
      <c r="I7" s="36"/>
      <c r="J7" s="36"/>
      <c r="K7" s="36"/>
      <c r="L7" s="36"/>
      <c r="M7" s="36"/>
      <c r="N7" s="36" t="s">
        <v>138</v>
      </c>
    </row>
    <row r="8" customFormat="false" ht="30" hidden="false" customHeight="true" outlineLevel="0" collapsed="false">
      <c r="A8" s="37" t="n">
        <v>5</v>
      </c>
      <c r="B8" s="37" t="s">
        <v>151</v>
      </c>
      <c r="C8" s="38" t="s">
        <v>84</v>
      </c>
      <c r="D8" s="38"/>
      <c r="E8" s="38" t="s">
        <v>155</v>
      </c>
      <c r="F8" s="38"/>
      <c r="G8" s="38" t="s">
        <v>97</v>
      </c>
      <c r="H8" s="38"/>
      <c r="I8" s="38"/>
      <c r="J8" s="38"/>
      <c r="K8" s="38"/>
      <c r="L8" s="38"/>
      <c r="M8" s="38"/>
      <c r="N8" s="38" t="s">
        <v>138</v>
      </c>
    </row>
    <row r="9" customFormat="false" ht="30" hidden="false" customHeight="true" outlineLevel="0" collapsed="false">
      <c r="A9" s="35" t="n">
        <v>6</v>
      </c>
      <c r="B9" s="35" t="s">
        <v>159</v>
      </c>
      <c r="C9" s="36" t="s">
        <v>84</v>
      </c>
      <c r="D9" s="36"/>
      <c r="E9" s="36" t="s">
        <v>134</v>
      </c>
      <c r="F9" s="36"/>
      <c r="G9" s="36" t="s">
        <v>97</v>
      </c>
      <c r="H9" s="36"/>
      <c r="I9" s="36"/>
      <c r="J9" s="36"/>
      <c r="K9" s="36"/>
      <c r="L9" s="36"/>
      <c r="M9" s="36"/>
      <c r="N9" s="36" t="s">
        <v>138</v>
      </c>
    </row>
    <row r="10" customFormat="false" ht="30" hidden="false" customHeight="true" outlineLevel="0" collapsed="false">
      <c r="A10" s="39" t="n">
        <v>7</v>
      </c>
      <c r="B10" s="39" t="s">
        <v>163</v>
      </c>
      <c r="C10" s="40" t="s">
        <v>84</v>
      </c>
      <c r="D10" s="40"/>
      <c r="E10" s="40" t="s">
        <v>167</v>
      </c>
      <c r="F10" s="40"/>
      <c r="G10" s="40" t="s">
        <v>97</v>
      </c>
      <c r="H10" s="40"/>
      <c r="I10" s="40"/>
      <c r="J10" s="40"/>
      <c r="K10" s="40"/>
      <c r="L10" s="40"/>
      <c r="M10" s="40"/>
      <c r="N10" s="40" t="s">
        <v>138</v>
      </c>
    </row>
    <row r="11" customFormat="false" ht="30" hidden="false" customHeight="true" outlineLevel="0" collapsed="false">
      <c r="A11" s="39" t="n">
        <v>8</v>
      </c>
      <c r="B11" s="39" t="s">
        <v>171</v>
      </c>
      <c r="C11" s="40" t="s">
        <v>84</v>
      </c>
      <c r="D11" s="40"/>
      <c r="E11" s="40" t="s">
        <v>167</v>
      </c>
      <c r="F11" s="40"/>
      <c r="G11" s="40" t="s">
        <v>97</v>
      </c>
      <c r="H11" s="40"/>
      <c r="I11" s="40"/>
      <c r="J11" s="40"/>
      <c r="K11" s="40"/>
      <c r="L11" s="40"/>
      <c r="M11" s="40"/>
      <c r="N11" s="40" t="s">
        <v>138</v>
      </c>
    </row>
    <row r="12" customFormat="false" ht="30" hidden="false" customHeight="true" outlineLevel="0" collapsed="false">
      <c r="A12" s="39" t="n">
        <v>9</v>
      </c>
      <c r="B12" s="39" t="s">
        <v>175</v>
      </c>
      <c r="C12" s="40" t="s">
        <v>84</v>
      </c>
      <c r="D12" s="40"/>
      <c r="E12" s="40" t="s">
        <v>167</v>
      </c>
      <c r="F12" s="40"/>
      <c r="G12" s="40" t="s">
        <v>97</v>
      </c>
      <c r="H12" s="40"/>
      <c r="I12" s="40"/>
      <c r="J12" s="40"/>
      <c r="K12" s="40"/>
      <c r="L12" s="40"/>
      <c r="M12" s="40"/>
      <c r="N12" s="40" t="s">
        <v>138</v>
      </c>
    </row>
    <row r="13" customFormat="false" ht="30" hidden="false" customHeight="true" outlineLevel="0" collapsed="false">
      <c r="A13" s="39" t="n">
        <v>10</v>
      </c>
      <c r="B13" s="39" t="s">
        <v>179</v>
      </c>
      <c r="C13" s="40" t="s">
        <v>84</v>
      </c>
      <c r="D13" s="40"/>
      <c r="E13" s="40" t="s">
        <v>167</v>
      </c>
      <c r="F13" s="40"/>
      <c r="G13" s="40" t="s">
        <v>97</v>
      </c>
      <c r="H13" s="40"/>
      <c r="I13" s="40"/>
      <c r="J13" s="40"/>
      <c r="K13" s="40"/>
      <c r="L13" s="40"/>
      <c r="M13" s="40"/>
      <c r="N13" s="40" t="s">
        <v>138</v>
      </c>
    </row>
    <row r="14" customFormat="false" ht="30" hidden="false" customHeight="true" outlineLevel="0" collapsed="false">
      <c r="A14" s="35" t="n">
        <v>11</v>
      </c>
      <c r="B14" s="35" t="s">
        <v>183</v>
      </c>
      <c r="C14" s="36" t="s">
        <v>84</v>
      </c>
      <c r="D14" s="36"/>
      <c r="E14" s="36" t="s">
        <v>134</v>
      </c>
      <c r="F14" s="36"/>
      <c r="G14" s="36" t="s">
        <v>97</v>
      </c>
      <c r="H14" s="36"/>
      <c r="I14" s="36"/>
      <c r="J14" s="36"/>
      <c r="K14" s="36"/>
      <c r="L14" s="36"/>
      <c r="M14" s="36"/>
      <c r="N14" s="36" t="s">
        <v>138</v>
      </c>
    </row>
    <row r="15" customFormat="false" ht="30" hidden="false" customHeight="true" outlineLevel="0" collapsed="false">
      <c r="A15" s="39" t="n">
        <v>12</v>
      </c>
      <c r="B15" s="39" t="s">
        <v>187</v>
      </c>
      <c r="C15" s="40" t="s">
        <v>84</v>
      </c>
      <c r="D15" s="40"/>
      <c r="E15" s="40" t="s">
        <v>167</v>
      </c>
      <c r="F15" s="40"/>
      <c r="G15" s="40" t="s">
        <v>97</v>
      </c>
      <c r="H15" s="40"/>
      <c r="I15" s="40"/>
      <c r="J15" s="40"/>
      <c r="K15" s="40"/>
      <c r="L15" s="40"/>
      <c r="M15" s="40"/>
      <c r="N15" s="40" t="s">
        <v>138</v>
      </c>
    </row>
    <row r="16" customFormat="false" ht="30" hidden="false" customHeight="true" outlineLevel="0" collapsed="false">
      <c r="A16" s="39" t="n">
        <v>13</v>
      </c>
      <c r="B16" s="39" t="s">
        <v>191</v>
      </c>
      <c r="C16" s="40" t="s">
        <v>84</v>
      </c>
      <c r="D16" s="40"/>
      <c r="E16" s="40" t="s">
        <v>167</v>
      </c>
      <c r="F16" s="40"/>
      <c r="G16" s="40" t="s">
        <v>97</v>
      </c>
      <c r="H16" s="40"/>
      <c r="I16" s="40"/>
      <c r="J16" s="40"/>
      <c r="K16" s="40"/>
      <c r="L16" s="40"/>
      <c r="M16" s="40"/>
      <c r="N16" s="40" t="s">
        <v>138</v>
      </c>
    </row>
    <row r="17" customFormat="false" ht="30" hidden="false" customHeight="true" outlineLevel="0" collapsed="false">
      <c r="A17" s="37" t="n">
        <v>14</v>
      </c>
      <c r="B17" s="37" t="s">
        <v>195</v>
      </c>
      <c r="C17" s="38" t="s">
        <v>84</v>
      </c>
      <c r="D17" s="38"/>
      <c r="E17" s="38" t="s">
        <v>155</v>
      </c>
      <c r="F17" s="38"/>
      <c r="G17" s="38" t="s">
        <v>97</v>
      </c>
      <c r="H17" s="38"/>
      <c r="I17" s="38"/>
      <c r="J17" s="38"/>
      <c r="K17" s="38"/>
      <c r="L17" s="38"/>
      <c r="M17" s="38"/>
      <c r="N17" s="38" t="s">
        <v>138</v>
      </c>
    </row>
    <row r="18" customFormat="false" ht="30" hidden="false" customHeight="true" outlineLevel="0" collapsed="false">
      <c r="A18" s="39" t="n">
        <v>15</v>
      </c>
      <c r="B18" s="39" t="s">
        <v>199</v>
      </c>
      <c r="C18" s="40" t="s">
        <v>84</v>
      </c>
      <c r="D18" s="40"/>
      <c r="E18" s="40" t="s">
        <v>167</v>
      </c>
      <c r="F18" s="40"/>
      <c r="G18" s="40" t="s">
        <v>97</v>
      </c>
      <c r="H18" s="40"/>
      <c r="I18" s="40"/>
      <c r="J18" s="40"/>
      <c r="K18" s="40"/>
      <c r="L18" s="40"/>
      <c r="M18" s="40"/>
      <c r="N18" s="40" t="s">
        <v>138</v>
      </c>
    </row>
    <row r="19" customFormat="false" ht="30" hidden="false" customHeight="true" outlineLevel="0" collapsed="false">
      <c r="A19" s="39" t="n">
        <v>16</v>
      </c>
      <c r="B19" s="39" t="s">
        <v>202</v>
      </c>
      <c r="C19" s="40" t="s">
        <v>84</v>
      </c>
      <c r="D19" s="40"/>
      <c r="E19" s="40" t="s">
        <v>167</v>
      </c>
      <c r="F19" s="40"/>
      <c r="G19" s="40" t="s">
        <v>97</v>
      </c>
      <c r="H19" s="40"/>
      <c r="I19" s="40"/>
      <c r="J19" s="40"/>
      <c r="K19" s="40"/>
      <c r="L19" s="40"/>
      <c r="M19" s="40"/>
      <c r="N19" s="40" t="s">
        <v>138</v>
      </c>
    </row>
    <row r="20" customFormat="false" ht="30" hidden="false" customHeight="true" outlineLevel="0" collapsed="false">
      <c r="A20" s="35" t="n">
        <v>17</v>
      </c>
      <c r="B20" s="35" t="s">
        <v>206</v>
      </c>
      <c r="C20" s="36" t="s">
        <v>84</v>
      </c>
      <c r="D20" s="36"/>
      <c r="E20" s="36" t="s">
        <v>134</v>
      </c>
      <c r="F20" s="36"/>
      <c r="G20" s="36" t="s">
        <v>97</v>
      </c>
      <c r="H20" s="36"/>
      <c r="I20" s="36"/>
      <c r="J20" s="36"/>
      <c r="K20" s="36"/>
      <c r="L20" s="36"/>
      <c r="M20" s="36"/>
      <c r="N20" s="36" t="s">
        <v>138</v>
      </c>
    </row>
    <row r="21" customFormat="false" ht="30" hidden="false" customHeight="true" outlineLevel="0" collapsed="false">
      <c r="A21" s="37" t="n">
        <v>18</v>
      </c>
      <c r="B21" s="37" t="s">
        <v>210</v>
      </c>
      <c r="C21" s="38" t="s">
        <v>84</v>
      </c>
      <c r="D21" s="38"/>
      <c r="E21" s="38" t="s">
        <v>155</v>
      </c>
      <c r="F21" s="38"/>
      <c r="G21" s="38" t="s">
        <v>97</v>
      </c>
      <c r="H21" s="38"/>
      <c r="I21" s="38"/>
      <c r="J21" s="38"/>
      <c r="K21" s="38"/>
      <c r="L21" s="38"/>
      <c r="M21" s="38"/>
      <c r="N21" s="38" t="s">
        <v>138</v>
      </c>
    </row>
    <row r="22" customFormat="false" ht="30" hidden="false" customHeight="true" outlineLevel="0" collapsed="false">
      <c r="A22" s="37" t="n">
        <v>19</v>
      </c>
      <c r="B22" s="37" t="s">
        <v>214</v>
      </c>
      <c r="C22" s="38" t="s">
        <v>84</v>
      </c>
      <c r="D22" s="38"/>
      <c r="E22" s="38" t="s">
        <v>155</v>
      </c>
      <c r="F22" s="38"/>
      <c r="G22" s="38" t="s">
        <v>97</v>
      </c>
      <c r="H22" s="38"/>
      <c r="I22" s="38"/>
      <c r="J22" s="38"/>
      <c r="K22" s="38"/>
      <c r="L22" s="38"/>
      <c r="M22" s="38"/>
      <c r="N22" s="38" t="s">
        <v>138</v>
      </c>
    </row>
    <row r="25" customFormat="false" ht="15" hidden="false" customHeight="true" outlineLevel="0" collapsed="false">
      <c r="A25" s="58" t="s">
        <v>587</v>
      </c>
      <c r="B25" s="58"/>
    </row>
    <row r="26" customFormat="false" ht="15" hidden="false" customHeight="true" outlineLevel="0" collapsed="false">
      <c r="A26" s="59" t="s">
        <v>588</v>
      </c>
    </row>
    <row r="27" customFormat="false" ht="15" hidden="false" customHeight="true" outlineLevel="0" collapsed="false">
      <c r="A27" s="60" t="s">
        <v>589</v>
      </c>
    </row>
    <row r="28" customFormat="false" ht="15" hidden="false" customHeight="true" outlineLevel="0" collapsed="false">
      <c r="A28" s="61" t="s">
        <v>590</v>
      </c>
    </row>
    <row r="29" customFormat="false" ht="15" hidden="false" customHeight="true" outlineLevel="0" collapsed="false">
      <c r="A29" s="62" t="s">
        <v>591</v>
      </c>
    </row>
    <row r="30" customFormat="false" ht="15" hidden="false" customHeight="true" outlineLevel="0" collapsed="false">
      <c r="A30" s="63" t="s">
        <v>592</v>
      </c>
    </row>
    <row r="31" customFormat="false" ht="15" hidden="false" customHeight="true" outlineLevel="0" collapsed="false">
      <c r="A31" s="64" t="s">
        <v>593</v>
      </c>
    </row>
    <row r="32" customFormat="false" ht="15" hidden="false" customHeight="true" outlineLevel="0" collapsed="false">
      <c r="A32" s="65" t="s">
        <v>97</v>
      </c>
    </row>
  </sheetData>
  <mergeCells count="2">
    <mergeCell ref="A1:N1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B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6" min="5" style="1" width="10"/>
    <col collapsed="false" customWidth="true" hidden="false" outlineLevel="0" max="7" min="7" style="1" width="34"/>
    <col collapsed="false" customWidth="true" hidden="false" outlineLevel="0" max="8" min="8" style="1" width="48"/>
  </cols>
  <sheetData>
    <row r="1" customFormat="false" ht="25.5" hidden="false" customHeight="true" outlineLevel="0" collapsed="false">
      <c r="A1" s="31" t="s">
        <v>594</v>
      </c>
      <c r="B1" s="31"/>
      <c r="C1" s="31"/>
      <c r="D1" s="31"/>
      <c r="E1" s="31"/>
      <c r="F1" s="31"/>
      <c r="G1" s="31"/>
      <c r="H1" s="31"/>
    </row>
    <row r="2" customFormat="false" ht="30" hidden="false" customHeight="true" outlineLevel="0" collapsed="false">
      <c r="A2" s="32" t="s">
        <v>11</v>
      </c>
      <c r="B2" s="32" t="s">
        <v>120</v>
      </c>
      <c r="C2" s="32" t="s">
        <v>122</v>
      </c>
      <c r="D2" s="32" t="s">
        <v>44</v>
      </c>
      <c r="E2" s="32" t="s">
        <v>42</v>
      </c>
      <c r="F2" s="32" t="s">
        <v>43</v>
      </c>
      <c r="G2" s="32" t="s">
        <v>47</v>
      </c>
      <c r="H2" s="32" t="s">
        <v>48</v>
      </c>
    </row>
    <row r="3" customFormat="false" ht="48" hidden="false" customHeight="true" outlineLevel="0" collapsed="false">
      <c r="A3" s="33" t="s">
        <v>11</v>
      </c>
      <c r="B3" s="33" t="s">
        <v>120</v>
      </c>
      <c r="C3" s="33" t="s">
        <v>122</v>
      </c>
      <c r="D3" s="34" t="s">
        <v>44</v>
      </c>
      <c r="E3" s="34" t="n">
        <v>0</v>
      </c>
      <c r="F3" s="34" t="s">
        <v>595</v>
      </c>
      <c r="G3" s="34" t="s">
        <v>47</v>
      </c>
      <c r="H3" s="34" t="s">
        <v>48</v>
      </c>
    </row>
    <row r="4" customFormat="false" ht="48" hidden="false" customHeight="true" outlineLevel="0" collapsed="false">
      <c r="A4" s="35" t="n">
        <v>1</v>
      </c>
      <c r="B4" s="35" t="s">
        <v>130</v>
      </c>
      <c r="C4" s="35" t="s">
        <v>84</v>
      </c>
      <c r="D4" s="36" t="s">
        <v>134</v>
      </c>
      <c r="E4" s="36" t="n">
        <v>19</v>
      </c>
      <c r="F4" s="36" t="s">
        <v>596</v>
      </c>
      <c r="G4" s="36" t="s">
        <v>135</v>
      </c>
      <c r="H4" s="36" t="s">
        <v>136</v>
      </c>
    </row>
    <row r="5" customFormat="false" ht="48" hidden="false" customHeight="true" outlineLevel="0" collapsed="false">
      <c r="A5" s="35" t="n">
        <v>2</v>
      </c>
      <c r="B5" s="35" t="s">
        <v>139</v>
      </c>
      <c r="C5" s="35" t="s">
        <v>84</v>
      </c>
      <c r="D5" s="36" t="s">
        <v>134</v>
      </c>
      <c r="E5" s="36" t="n">
        <v>19</v>
      </c>
      <c r="F5" s="36" t="s">
        <v>596</v>
      </c>
      <c r="G5" s="36" t="s">
        <v>135</v>
      </c>
      <c r="H5" s="36" t="s">
        <v>141</v>
      </c>
    </row>
    <row r="6" customFormat="false" ht="48" hidden="false" customHeight="true" outlineLevel="0" collapsed="false">
      <c r="A6" s="35" t="n">
        <v>3</v>
      </c>
      <c r="B6" s="35" t="s">
        <v>143</v>
      </c>
      <c r="C6" s="35" t="s">
        <v>84</v>
      </c>
      <c r="D6" s="36" t="s">
        <v>134</v>
      </c>
      <c r="E6" s="36" t="n">
        <v>19</v>
      </c>
      <c r="F6" s="36" t="s">
        <v>596</v>
      </c>
      <c r="G6" s="36" t="s">
        <v>135</v>
      </c>
      <c r="H6" s="36" t="s">
        <v>145</v>
      </c>
    </row>
    <row r="7" customFormat="false" ht="48" hidden="false" customHeight="true" outlineLevel="0" collapsed="false">
      <c r="A7" s="35" t="n">
        <v>4</v>
      </c>
      <c r="B7" s="35" t="s">
        <v>147</v>
      </c>
      <c r="C7" s="35" t="s">
        <v>84</v>
      </c>
      <c r="D7" s="36" t="s">
        <v>134</v>
      </c>
      <c r="E7" s="36" t="n">
        <v>19</v>
      </c>
      <c r="F7" s="36" t="s">
        <v>596</v>
      </c>
      <c r="G7" s="36" t="s">
        <v>135</v>
      </c>
      <c r="H7" s="36" t="s">
        <v>149</v>
      </c>
    </row>
    <row r="8" customFormat="false" ht="48" hidden="false" customHeight="true" outlineLevel="0" collapsed="false">
      <c r="A8" s="37" t="n">
        <v>5</v>
      </c>
      <c r="B8" s="37" t="s">
        <v>151</v>
      </c>
      <c r="C8" s="37" t="s">
        <v>84</v>
      </c>
      <c r="D8" s="38" t="s">
        <v>155</v>
      </c>
      <c r="E8" s="38" t="n">
        <v>19</v>
      </c>
      <c r="F8" s="38" t="s">
        <v>596</v>
      </c>
      <c r="G8" s="38" t="s">
        <v>156</v>
      </c>
      <c r="H8" s="38" t="s">
        <v>157</v>
      </c>
    </row>
    <row r="9" customFormat="false" ht="48" hidden="false" customHeight="true" outlineLevel="0" collapsed="false">
      <c r="A9" s="35" t="n">
        <v>6</v>
      </c>
      <c r="B9" s="35" t="s">
        <v>159</v>
      </c>
      <c r="C9" s="35" t="s">
        <v>84</v>
      </c>
      <c r="D9" s="36" t="s">
        <v>134</v>
      </c>
      <c r="E9" s="36" t="n">
        <v>19</v>
      </c>
      <c r="F9" s="36" t="s">
        <v>596</v>
      </c>
      <c r="G9" s="36" t="s">
        <v>135</v>
      </c>
      <c r="H9" s="36" t="s">
        <v>161</v>
      </c>
    </row>
    <row r="10" customFormat="false" ht="48" hidden="false" customHeight="true" outlineLevel="0" collapsed="false">
      <c r="A10" s="39" t="n">
        <v>7</v>
      </c>
      <c r="B10" s="39" t="s">
        <v>163</v>
      </c>
      <c r="C10" s="39" t="s">
        <v>84</v>
      </c>
      <c r="D10" s="40" t="s">
        <v>167</v>
      </c>
      <c r="E10" s="40" t="n">
        <v>19</v>
      </c>
      <c r="F10" s="40" t="s">
        <v>596</v>
      </c>
      <c r="G10" s="40" t="s">
        <v>168</v>
      </c>
      <c r="H10" s="40" t="s">
        <v>169</v>
      </c>
    </row>
    <row r="11" customFormat="false" ht="48" hidden="false" customHeight="true" outlineLevel="0" collapsed="false">
      <c r="A11" s="39" t="n">
        <v>8</v>
      </c>
      <c r="B11" s="39" t="s">
        <v>171</v>
      </c>
      <c r="C11" s="39" t="s">
        <v>84</v>
      </c>
      <c r="D11" s="40" t="s">
        <v>167</v>
      </c>
      <c r="E11" s="40" t="n">
        <v>19</v>
      </c>
      <c r="F11" s="40" t="s">
        <v>596</v>
      </c>
      <c r="G11" s="40" t="s">
        <v>168</v>
      </c>
      <c r="H11" s="40" t="s">
        <v>173</v>
      </c>
    </row>
    <row r="12" customFormat="false" ht="48" hidden="false" customHeight="true" outlineLevel="0" collapsed="false">
      <c r="A12" s="39" t="n">
        <v>9</v>
      </c>
      <c r="B12" s="39" t="s">
        <v>175</v>
      </c>
      <c r="C12" s="39" t="s">
        <v>84</v>
      </c>
      <c r="D12" s="40" t="s">
        <v>167</v>
      </c>
      <c r="E12" s="40" t="n">
        <v>19</v>
      </c>
      <c r="F12" s="40" t="s">
        <v>596</v>
      </c>
      <c r="G12" s="40" t="s">
        <v>168</v>
      </c>
      <c r="H12" s="40" t="s">
        <v>177</v>
      </c>
    </row>
    <row r="13" customFormat="false" ht="48" hidden="false" customHeight="true" outlineLevel="0" collapsed="false">
      <c r="A13" s="39" t="n">
        <v>10</v>
      </c>
      <c r="B13" s="39" t="s">
        <v>179</v>
      </c>
      <c r="C13" s="39" t="s">
        <v>84</v>
      </c>
      <c r="D13" s="40" t="s">
        <v>167</v>
      </c>
      <c r="E13" s="40" t="n">
        <v>19</v>
      </c>
      <c r="F13" s="40" t="s">
        <v>596</v>
      </c>
      <c r="G13" s="40" t="s">
        <v>168</v>
      </c>
      <c r="H13" s="40" t="s">
        <v>181</v>
      </c>
    </row>
    <row r="14" customFormat="false" ht="48" hidden="false" customHeight="true" outlineLevel="0" collapsed="false">
      <c r="A14" s="35" t="n">
        <v>11</v>
      </c>
      <c r="B14" s="35" t="s">
        <v>183</v>
      </c>
      <c r="C14" s="35" t="s">
        <v>84</v>
      </c>
      <c r="D14" s="36" t="s">
        <v>134</v>
      </c>
      <c r="E14" s="36" t="n">
        <v>19</v>
      </c>
      <c r="F14" s="36" t="s">
        <v>596</v>
      </c>
      <c r="G14" s="36" t="s">
        <v>135</v>
      </c>
      <c r="H14" s="36" t="s">
        <v>185</v>
      </c>
    </row>
    <row r="15" customFormat="false" ht="48" hidden="false" customHeight="true" outlineLevel="0" collapsed="false">
      <c r="A15" s="39" t="n">
        <v>12</v>
      </c>
      <c r="B15" s="39" t="s">
        <v>187</v>
      </c>
      <c r="C15" s="39" t="s">
        <v>84</v>
      </c>
      <c r="D15" s="40" t="s">
        <v>167</v>
      </c>
      <c r="E15" s="40" t="n">
        <v>19</v>
      </c>
      <c r="F15" s="40" t="s">
        <v>596</v>
      </c>
      <c r="G15" s="40" t="s">
        <v>168</v>
      </c>
      <c r="H15" s="40" t="s">
        <v>189</v>
      </c>
    </row>
    <row r="16" customFormat="false" ht="48" hidden="false" customHeight="true" outlineLevel="0" collapsed="false">
      <c r="A16" s="39" t="n">
        <v>13</v>
      </c>
      <c r="B16" s="39" t="s">
        <v>191</v>
      </c>
      <c r="C16" s="39" t="s">
        <v>84</v>
      </c>
      <c r="D16" s="40" t="s">
        <v>167</v>
      </c>
      <c r="E16" s="40" t="n">
        <v>19</v>
      </c>
      <c r="F16" s="40" t="s">
        <v>596</v>
      </c>
      <c r="G16" s="40" t="s">
        <v>168</v>
      </c>
      <c r="H16" s="40" t="s">
        <v>193</v>
      </c>
    </row>
    <row r="17" customFormat="false" ht="48" hidden="false" customHeight="true" outlineLevel="0" collapsed="false">
      <c r="A17" s="37" t="n">
        <v>14</v>
      </c>
      <c r="B17" s="37" t="s">
        <v>195</v>
      </c>
      <c r="C17" s="37" t="s">
        <v>84</v>
      </c>
      <c r="D17" s="38" t="s">
        <v>155</v>
      </c>
      <c r="E17" s="38" t="n">
        <v>19</v>
      </c>
      <c r="F17" s="38" t="s">
        <v>596</v>
      </c>
      <c r="G17" s="38" t="s">
        <v>156</v>
      </c>
      <c r="H17" s="38" t="s">
        <v>197</v>
      </c>
    </row>
    <row r="18" customFormat="false" ht="48" hidden="false" customHeight="true" outlineLevel="0" collapsed="false">
      <c r="A18" s="39" t="n">
        <v>15</v>
      </c>
      <c r="B18" s="39" t="s">
        <v>199</v>
      </c>
      <c r="C18" s="39" t="s">
        <v>84</v>
      </c>
      <c r="D18" s="40" t="s">
        <v>167</v>
      </c>
      <c r="E18" s="40" t="n">
        <v>19</v>
      </c>
      <c r="F18" s="40" t="s">
        <v>596</v>
      </c>
      <c r="G18" s="40" t="s">
        <v>168</v>
      </c>
      <c r="H18" s="40" t="s">
        <v>169</v>
      </c>
    </row>
    <row r="19" customFormat="false" ht="48" hidden="false" customHeight="true" outlineLevel="0" collapsed="false">
      <c r="A19" s="39" t="n">
        <v>16</v>
      </c>
      <c r="B19" s="39" t="s">
        <v>202</v>
      </c>
      <c r="C19" s="39" t="s">
        <v>84</v>
      </c>
      <c r="D19" s="40" t="s">
        <v>167</v>
      </c>
      <c r="E19" s="40" t="n">
        <v>19</v>
      </c>
      <c r="F19" s="40" t="s">
        <v>596</v>
      </c>
      <c r="G19" s="40" t="s">
        <v>168</v>
      </c>
      <c r="H19" s="40" t="s">
        <v>204</v>
      </c>
    </row>
    <row r="20" customFormat="false" ht="48" hidden="false" customHeight="true" outlineLevel="0" collapsed="false">
      <c r="A20" s="35" t="n">
        <v>17</v>
      </c>
      <c r="B20" s="35" t="s">
        <v>206</v>
      </c>
      <c r="C20" s="35" t="s">
        <v>84</v>
      </c>
      <c r="D20" s="36" t="s">
        <v>134</v>
      </c>
      <c r="E20" s="36" t="n">
        <v>19</v>
      </c>
      <c r="F20" s="36" t="s">
        <v>596</v>
      </c>
      <c r="G20" s="36" t="s">
        <v>135</v>
      </c>
      <c r="H20" s="36" t="s">
        <v>208</v>
      </c>
    </row>
    <row r="21" customFormat="false" ht="48" hidden="false" customHeight="true" outlineLevel="0" collapsed="false">
      <c r="A21" s="37" t="n">
        <v>18</v>
      </c>
      <c r="B21" s="37" t="s">
        <v>210</v>
      </c>
      <c r="C21" s="37" t="s">
        <v>84</v>
      </c>
      <c r="D21" s="38" t="s">
        <v>155</v>
      </c>
      <c r="E21" s="38" t="n">
        <v>19</v>
      </c>
      <c r="F21" s="38" t="s">
        <v>596</v>
      </c>
      <c r="G21" s="38" t="s">
        <v>156</v>
      </c>
      <c r="H21" s="38" t="s">
        <v>212</v>
      </c>
    </row>
    <row r="22" customFormat="false" ht="48" hidden="false" customHeight="true" outlineLevel="0" collapsed="false">
      <c r="A22" s="37" t="n">
        <v>19</v>
      </c>
      <c r="B22" s="37" t="s">
        <v>214</v>
      </c>
      <c r="C22" s="37" t="s">
        <v>84</v>
      </c>
      <c r="D22" s="38" t="s">
        <v>155</v>
      </c>
      <c r="E22" s="38" t="n">
        <v>19</v>
      </c>
      <c r="F22" s="38" t="s">
        <v>596</v>
      </c>
      <c r="G22" s="38" t="s">
        <v>156</v>
      </c>
      <c r="H22" s="38" t="s">
        <v>216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A32"/>
    <pageSetUpPr fitToPage="false"/>
  </sheetPr>
  <dimension ref="A1:U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8"/>
    <col collapsed="false" customWidth="true" hidden="false" outlineLevel="0" max="21" min="13" style="0" width="13"/>
  </cols>
  <sheetData>
    <row r="1" customFormat="false" ht="25.5" hidden="false" customHeight="true" outlineLevel="0" collapsed="false">
      <c r="A1" s="31" t="s">
        <v>597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customFormat="false" ht="39.75" hidden="false" customHeight="true" outlineLevel="0" collapsed="false">
      <c r="A2" s="32" t="s">
        <v>120</v>
      </c>
      <c r="B2" s="32" t="s">
        <v>44</v>
      </c>
      <c r="C2" s="32" t="s">
        <v>598</v>
      </c>
      <c r="D2" s="32" t="s">
        <v>599</v>
      </c>
      <c r="E2" s="32" t="s">
        <v>600</v>
      </c>
      <c r="F2" s="32" t="s">
        <v>601</v>
      </c>
      <c r="G2" s="32" t="s">
        <v>602</v>
      </c>
      <c r="H2" s="32" t="s">
        <v>603</v>
      </c>
      <c r="I2" s="32" t="s">
        <v>604</v>
      </c>
      <c r="J2" s="32" t="s">
        <v>605</v>
      </c>
      <c r="K2" s="32" t="s">
        <v>606</v>
      </c>
      <c r="L2" s="32" t="s">
        <v>71</v>
      </c>
      <c r="M2" s="13" t="s">
        <v>29</v>
      </c>
      <c r="N2" s="14" t="s">
        <v>30</v>
      </c>
      <c r="O2" s="15" t="s">
        <v>31</v>
      </c>
      <c r="P2" s="16" t="s">
        <v>32</v>
      </c>
      <c r="Q2" s="17" t="s">
        <v>33</v>
      </c>
      <c r="R2" s="18" t="s">
        <v>34</v>
      </c>
      <c r="S2" s="19" t="s">
        <v>35</v>
      </c>
      <c r="T2" s="20" t="s">
        <v>36</v>
      </c>
      <c r="U2" s="21" t="s">
        <v>37</v>
      </c>
    </row>
    <row r="3" customFormat="false" ht="21.75" hidden="false" customHeight="true" outlineLevel="0" collapsed="false">
      <c r="A3" s="34" t="s">
        <v>120</v>
      </c>
      <c r="B3" s="34" t="s">
        <v>44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24"/>
      <c r="N3" s="24"/>
      <c r="O3" s="24"/>
      <c r="P3" s="24"/>
      <c r="Q3" s="24"/>
      <c r="R3" s="24"/>
      <c r="S3" s="24"/>
      <c r="T3" s="24"/>
      <c r="U3" s="25" t="n">
        <f aca="false">IFERROR(SUM(M3:T3),"")</f>
        <v>0</v>
      </c>
    </row>
    <row r="4" customFormat="false" ht="21.75" hidden="false" customHeight="true" outlineLevel="0" collapsed="false">
      <c r="A4" s="36" t="s">
        <v>130</v>
      </c>
      <c r="B4" s="36" t="s">
        <v>134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24"/>
      <c r="N4" s="24"/>
      <c r="O4" s="24"/>
      <c r="P4" s="24"/>
      <c r="Q4" s="24"/>
      <c r="R4" s="24"/>
      <c r="S4" s="24"/>
      <c r="T4" s="24"/>
      <c r="U4" s="25" t="n">
        <f aca="false">IFERROR(SUM(M4:T4),"")</f>
        <v>0</v>
      </c>
    </row>
    <row r="5" customFormat="false" ht="21.75" hidden="false" customHeight="true" outlineLevel="0" collapsed="false">
      <c r="A5" s="36" t="s">
        <v>139</v>
      </c>
      <c r="B5" s="36" t="s">
        <v>134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24"/>
      <c r="N5" s="24"/>
      <c r="O5" s="24"/>
      <c r="P5" s="24"/>
      <c r="Q5" s="24"/>
      <c r="R5" s="24"/>
      <c r="S5" s="24"/>
      <c r="T5" s="24"/>
      <c r="U5" s="25" t="n">
        <f aca="false">IFERROR(SUM(M5:T5),"")</f>
        <v>0</v>
      </c>
    </row>
    <row r="6" customFormat="false" ht="21.75" hidden="false" customHeight="true" outlineLevel="0" collapsed="false">
      <c r="A6" s="36" t="s">
        <v>143</v>
      </c>
      <c r="B6" s="36" t="s">
        <v>134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24"/>
      <c r="N6" s="24"/>
      <c r="O6" s="24"/>
      <c r="P6" s="24"/>
      <c r="Q6" s="24"/>
      <c r="R6" s="24"/>
      <c r="S6" s="24"/>
      <c r="T6" s="24"/>
      <c r="U6" s="25" t="n">
        <f aca="false">IFERROR(SUM(M6:T6),"")</f>
        <v>0</v>
      </c>
    </row>
    <row r="7" customFormat="false" ht="21.75" hidden="false" customHeight="true" outlineLevel="0" collapsed="false">
      <c r="A7" s="36" t="s">
        <v>147</v>
      </c>
      <c r="B7" s="36" t="s">
        <v>134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24"/>
      <c r="N7" s="24"/>
      <c r="O7" s="24"/>
      <c r="P7" s="24"/>
      <c r="Q7" s="24"/>
      <c r="R7" s="24"/>
      <c r="S7" s="24"/>
      <c r="T7" s="24"/>
      <c r="U7" s="25" t="n">
        <f aca="false">IFERROR(SUM(M7:T7),"")</f>
        <v>0</v>
      </c>
    </row>
    <row r="8" customFormat="false" ht="21.75" hidden="false" customHeight="true" outlineLevel="0" collapsed="false">
      <c r="A8" s="38" t="s">
        <v>151</v>
      </c>
      <c r="B8" s="38" t="s">
        <v>155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24"/>
      <c r="N8" s="24"/>
      <c r="O8" s="24"/>
      <c r="P8" s="24"/>
      <c r="Q8" s="24"/>
      <c r="R8" s="24"/>
      <c r="S8" s="24"/>
      <c r="T8" s="24"/>
      <c r="U8" s="25" t="n">
        <f aca="false">IFERROR(SUM(M8:T8),"")</f>
        <v>0</v>
      </c>
    </row>
    <row r="9" customFormat="false" ht="21.75" hidden="false" customHeight="true" outlineLevel="0" collapsed="false">
      <c r="A9" s="36" t="s">
        <v>159</v>
      </c>
      <c r="B9" s="36" t="s">
        <v>134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24"/>
      <c r="N9" s="24"/>
      <c r="O9" s="24"/>
      <c r="P9" s="24"/>
      <c r="Q9" s="24"/>
      <c r="R9" s="24"/>
      <c r="S9" s="24"/>
      <c r="T9" s="24"/>
      <c r="U9" s="25" t="n">
        <f aca="false">IFERROR(SUM(M9:T9),"")</f>
        <v>0</v>
      </c>
    </row>
    <row r="10" customFormat="false" ht="21.75" hidden="false" customHeight="true" outlineLevel="0" collapsed="false">
      <c r="A10" s="40" t="s">
        <v>163</v>
      </c>
      <c r="B10" s="40" t="s">
        <v>167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24"/>
      <c r="N10" s="24"/>
      <c r="O10" s="24"/>
      <c r="P10" s="24"/>
      <c r="Q10" s="24"/>
      <c r="R10" s="24"/>
      <c r="S10" s="24"/>
      <c r="T10" s="24"/>
      <c r="U10" s="25" t="n">
        <f aca="false">IFERROR(SUM(M10:T10),"")</f>
        <v>0</v>
      </c>
    </row>
    <row r="11" customFormat="false" ht="21.75" hidden="false" customHeight="true" outlineLevel="0" collapsed="false">
      <c r="A11" s="40" t="s">
        <v>171</v>
      </c>
      <c r="B11" s="40" t="s">
        <v>167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24"/>
      <c r="N11" s="24"/>
      <c r="O11" s="24"/>
      <c r="P11" s="24"/>
      <c r="Q11" s="24"/>
      <c r="R11" s="24"/>
      <c r="S11" s="24"/>
      <c r="T11" s="24"/>
      <c r="U11" s="25" t="n">
        <f aca="false">IFERROR(SUM(M11:T11),"")</f>
        <v>0</v>
      </c>
    </row>
    <row r="12" customFormat="false" ht="21.75" hidden="false" customHeight="true" outlineLevel="0" collapsed="false">
      <c r="A12" s="40" t="s">
        <v>175</v>
      </c>
      <c r="B12" s="40" t="s">
        <v>167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24"/>
      <c r="N12" s="24"/>
      <c r="O12" s="24"/>
      <c r="P12" s="24"/>
      <c r="Q12" s="24"/>
      <c r="R12" s="24"/>
      <c r="S12" s="24"/>
      <c r="T12" s="24"/>
      <c r="U12" s="25" t="n">
        <f aca="false">IFERROR(SUM(M12:T12),"")</f>
        <v>0</v>
      </c>
    </row>
    <row r="13" customFormat="false" ht="21.75" hidden="false" customHeight="true" outlineLevel="0" collapsed="false">
      <c r="A13" s="40" t="s">
        <v>179</v>
      </c>
      <c r="B13" s="40" t="s">
        <v>167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24"/>
      <c r="N13" s="24"/>
      <c r="O13" s="24"/>
      <c r="P13" s="24"/>
      <c r="Q13" s="24"/>
      <c r="R13" s="24"/>
      <c r="S13" s="24"/>
      <c r="T13" s="24"/>
      <c r="U13" s="25" t="n">
        <f aca="false">IFERROR(SUM(M13:T13),"")</f>
        <v>0</v>
      </c>
    </row>
    <row r="14" customFormat="false" ht="21.75" hidden="false" customHeight="true" outlineLevel="0" collapsed="false">
      <c r="A14" s="36" t="s">
        <v>183</v>
      </c>
      <c r="B14" s="36" t="s">
        <v>134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24"/>
      <c r="N14" s="24"/>
      <c r="O14" s="24"/>
      <c r="P14" s="24"/>
      <c r="Q14" s="24"/>
      <c r="R14" s="24"/>
      <c r="S14" s="24"/>
      <c r="T14" s="24"/>
      <c r="U14" s="25" t="n">
        <f aca="false">IFERROR(SUM(M14:T14),"")</f>
        <v>0</v>
      </c>
    </row>
    <row r="15" customFormat="false" ht="21.75" hidden="false" customHeight="true" outlineLevel="0" collapsed="false">
      <c r="A15" s="40" t="s">
        <v>187</v>
      </c>
      <c r="B15" s="40" t="s">
        <v>167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24"/>
      <c r="N15" s="24"/>
      <c r="O15" s="24"/>
      <c r="P15" s="24"/>
      <c r="Q15" s="24"/>
      <c r="R15" s="24"/>
      <c r="S15" s="24"/>
      <c r="T15" s="24"/>
      <c r="U15" s="25" t="n">
        <f aca="false">IFERROR(SUM(M15:T15),"")</f>
        <v>0</v>
      </c>
    </row>
    <row r="16" customFormat="false" ht="21.75" hidden="false" customHeight="true" outlineLevel="0" collapsed="false">
      <c r="A16" s="40" t="s">
        <v>191</v>
      </c>
      <c r="B16" s="40" t="s">
        <v>167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24"/>
      <c r="N16" s="24"/>
      <c r="O16" s="24"/>
      <c r="P16" s="24"/>
      <c r="Q16" s="24"/>
      <c r="R16" s="24"/>
      <c r="S16" s="24"/>
      <c r="T16" s="24"/>
      <c r="U16" s="25" t="n">
        <f aca="false">IFERROR(SUM(M16:T16),"")</f>
        <v>0</v>
      </c>
    </row>
    <row r="17" customFormat="false" ht="21.75" hidden="false" customHeight="true" outlineLevel="0" collapsed="false">
      <c r="A17" s="38" t="s">
        <v>195</v>
      </c>
      <c r="B17" s="38" t="s">
        <v>155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4"/>
      <c r="N17" s="24"/>
      <c r="O17" s="24"/>
      <c r="P17" s="24"/>
      <c r="Q17" s="24"/>
      <c r="R17" s="24"/>
      <c r="S17" s="24"/>
      <c r="T17" s="24"/>
      <c r="U17" s="25" t="n">
        <f aca="false">IFERROR(SUM(M17:T17),"")</f>
        <v>0</v>
      </c>
    </row>
    <row r="18" customFormat="false" ht="21.75" hidden="false" customHeight="true" outlineLevel="0" collapsed="false">
      <c r="A18" s="40" t="s">
        <v>199</v>
      </c>
      <c r="B18" s="40" t="s">
        <v>167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24"/>
      <c r="N18" s="24"/>
      <c r="O18" s="24"/>
      <c r="P18" s="24"/>
      <c r="Q18" s="24"/>
      <c r="R18" s="24"/>
      <c r="S18" s="24"/>
      <c r="T18" s="24"/>
      <c r="U18" s="25" t="n">
        <f aca="false">IFERROR(SUM(M18:T18),"")</f>
        <v>0</v>
      </c>
    </row>
    <row r="19" customFormat="false" ht="21.75" hidden="false" customHeight="true" outlineLevel="0" collapsed="false">
      <c r="A19" s="40" t="s">
        <v>202</v>
      </c>
      <c r="B19" s="40" t="s">
        <v>167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24"/>
      <c r="N19" s="24"/>
      <c r="O19" s="24"/>
      <c r="P19" s="24"/>
      <c r="Q19" s="24"/>
      <c r="R19" s="24"/>
      <c r="S19" s="24"/>
      <c r="T19" s="24"/>
      <c r="U19" s="25" t="n">
        <f aca="false">IFERROR(SUM(M19:T19),"")</f>
        <v>0</v>
      </c>
    </row>
    <row r="20" customFormat="false" ht="21.75" hidden="false" customHeight="true" outlineLevel="0" collapsed="false">
      <c r="A20" s="36" t="s">
        <v>206</v>
      </c>
      <c r="B20" s="36" t="s">
        <v>134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24"/>
      <c r="N20" s="24"/>
      <c r="O20" s="24"/>
      <c r="P20" s="24"/>
      <c r="Q20" s="24"/>
      <c r="R20" s="24"/>
      <c r="S20" s="24"/>
      <c r="T20" s="24"/>
      <c r="U20" s="25" t="n">
        <f aca="false">IFERROR(SUM(M20:T20),"")</f>
        <v>0</v>
      </c>
    </row>
    <row r="21" customFormat="false" ht="21.75" hidden="false" customHeight="true" outlineLevel="0" collapsed="false">
      <c r="A21" s="38" t="s">
        <v>210</v>
      </c>
      <c r="B21" s="38" t="s">
        <v>155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24"/>
      <c r="N21" s="24"/>
      <c r="O21" s="24"/>
      <c r="P21" s="24"/>
      <c r="Q21" s="24"/>
      <c r="R21" s="24"/>
      <c r="S21" s="24"/>
      <c r="T21" s="24"/>
      <c r="U21" s="25" t="n">
        <f aca="false">IFERROR(SUM(M21:T21),"")</f>
        <v>0</v>
      </c>
    </row>
    <row r="22" customFormat="false" ht="21.75" hidden="false" customHeight="true" outlineLevel="0" collapsed="false">
      <c r="A22" s="38" t="s">
        <v>214</v>
      </c>
      <c r="B22" s="38" t="s">
        <v>155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24"/>
      <c r="N22" s="24"/>
      <c r="O22" s="24"/>
      <c r="P22" s="24"/>
      <c r="Q22" s="24"/>
      <c r="R22" s="24"/>
      <c r="S22" s="24"/>
      <c r="T22" s="24"/>
      <c r="U22" s="25" t="n">
        <f aca="false">IFERROR(SUM(M22:T22),"")</f>
        <v>0</v>
      </c>
    </row>
    <row r="23" customFormat="false" ht="21.75" hidden="false" customHeight="true" outlineLevel="0" collapsed="false">
      <c r="A23" s="36" t="s">
        <v>218</v>
      </c>
      <c r="B23" s="36" t="s">
        <v>134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24"/>
      <c r="N23" s="24"/>
      <c r="O23" s="24"/>
      <c r="P23" s="24"/>
      <c r="Q23" s="24"/>
      <c r="R23" s="24"/>
      <c r="S23" s="24"/>
      <c r="T23" s="24"/>
      <c r="U23" s="25" t="n">
        <f aca="false">IFERROR(SUM(M23:T23),"")</f>
        <v>0</v>
      </c>
    </row>
    <row r="24" customFormat="false" ht="21.75" hidden="false" customHeight="true" outlineLevel="0" collapsed="false">
      <c r="A24" s="38" t="s">
        <v>222</v>
      </c>
      <c r="B24" s="38" t="s">
        <v>155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24"/>
      <c r="N24" s="24"/>
      <c r="O24" s="24"/>
      <c r="P24" s="24"/>
      <c r="Q24" s="24"/>
      <c r="R24" s="24"/>
      <c r="S24" s="24"/>
      <c r="T24" s="24"/>
      <c r="U24" s="25" t="n">
        <f aca="false">IFERROR(SUM(M24:T24),"")</f>
        <v>0</v>
      </c>
    </row>
    <row r="25" customFormat="false" ht="21.75" hidden="false" customHeight="true" outlineLevel="0" collapsed="false">
      <c r="A25" s="38" t="s">
        <v>226</v>
      </c>
      <c r="B25" s="38" t="s">
        <v>155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24"/>
      <c r="N25" s="24"/>
      <c r="O25" s="24"/>
      <c r="P25" s="24"/>
      <c r="Q25" s="24"/>
      <c r="R25" s="24"/>
      <c r="S25" s="24"/>
      <c r="T25" s="24"/>
      <c r="U25" s="25" t="n">
        <f aca="false">IFERROR(SUM(M25:T25),"")</f>
        <v>0</v>
      </c>
    </row>
    <row r="26" customFormat="false" ht="21.75" hidden="false" customHeight="true" outlineLevel="0" collapsed="false">
      <c r="A26" s="40" t="s">
        <v>230</v>
      </c>
      <c r="B26" s="40" t="s">
        <v>167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24"/>
      <c r="N26" s="24"/>
      <c r="O26" s="24"/>
      <c r="P26" s="24"/>
      <c r="Q26" s="24"/>
      <c r="R26" s="24"/>
      <c r="S26" s="24"/>
      <c r="T26" s="24"/>
      <c r="U26" s="25" t="n">
        <f aca="false">IFERROR(SUM(M26:T26),"")</f>
        <v>0</v>
      </c>
    </row>
    <row r="27" customFormat="false" ht="21.75" hidden="false" customHeight="true" outlineLevel="0" collapsed="false">
      <c r="A27" s="38" t="s">
        <v>233</v>
      </c>
      <c r="B27" s="38" t="s">
        <v>155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24"/>
      <c r="N27" s="24"/>
      <c r="O27" s="24"/>
      <c r="P27" s="24"/>
      <c r="Q27" s="24"/>
      <c r="R27" s="24"/>
      <c r="S27" s="24"/>
      <c r="T27" s="24"/>
      <c r="U27" s="25" t="n">
        <f aca="false">IFERROR(SUM(M27:T27),"")</f>
        <v>0</v>
      </c>
    </row>
    <row r="28" customFormat="false" ht="21.75" hidden="false" customHeight="true" outlineLevel="0" collapsed="false">
      <c r="A28" s="38" t="s">
        <v>237</v>
      </c>
      <c r="B28" s="38" t="s">
        <v>155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24"/>
      <c r="N28" s="24"/>
      <c r="O28" s="24"/>
      <c r="P28" s="24"/>
      <c r="Q28" s="24"/>
      <c r="R28" s="24"/>
      <c r="S28" s="24"/>
      <c r="T28" s="24"/>
      <c r="U28" s="25" t="n">
        <f aca="false">IFERROR(SUM(M28:T28),"")</f>
        <v>0</v>
      </c>
    </row>
    <row r="29" customFormat="false" ht="21.75" hidden="false" customHeight="true" outlineLevel="0" collapsed="false">
      <c r="A29" s="38" t="s">
        <v>241</v>
      </c>
      <c r="B29" s="38" t="s">
        <v>155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24"/>
      <c r="N29" s="24"/>
      <c r="O29" s="24"/>
      <c r="P29" s="24"/>
      <c r="Q29" s="24"/>
      <c r="R29" s="24"/>
      <c r="S29" s="24"/>
      <c r="T29" s="24"/>
      <c r="U29" s="25" t="n">
        <f aca="false">IFERROR(SUM(M29:T29),"")</f>
        <v>0</v>
      </c>
    </row>
    <row r="30" customFormat="false" ht="21.75" hidden="false" customHeight="true" outlineLevel="0" collapsed="false">
      <c r="A30" s="38" t="s">
        <v>245</v>
      </c>
      <c r="B30" s="38" t="s">
        <v>155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24"/>
      <c r="N30" s="24"/>
      <c r="O30" s="24"/>
      <c r="P30" s="24"/>
      <c r="Q30" s="24"/>
      <c r="R30" s="24"/>
      <c r="S30" s="24"/>
      <c r="T30" s="24"/>
      <c r="U30" s="25" t="n">
        <f aca="false">IFERROR(SUM(M30:T30),"")</f>
        <v>0</v>
      </c>
    </row>
    <row r="31" customFormat="false" ht="21.75" hidden="false" customHeight="true" outlineLevel="0" collapsed="false">
      <c r="A31" s="38" t="s">
        <v>249</v>
      </c>
      <c r="B31" s="38" t="s">
        <v>155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24"/>
      <c r="N31" s="24"/>
      <c r="O31" s="24"/>
      <c r="P31" s="24"/>
      <c r="Q31" s="24"/>
      <c r="R31" s="24"/>
      <c r="S31" s="24"/>
      <c r="T31" s="24"/>
      <c r="U31" s="25" t="n">
        <f aca="false">IFERROR(SUM(M31:T31),"")</f>
        <v>0</v>
      </c>
    </row>
    <row r="32" customFormat="false" ht="21.75" hidden="false" customHeight="true" outlineLevel="0" collapsed="false">
      <c r="A32" s="38" t="s">
        <v>253</v>
      </c>
      <c r="B32" s="38" t="s">
        <v>155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24"/>
      <c r="N32" s="24"/>
      <c r="O32" s="24"/>
      <c r="P32" s="24"/>
      <c r="Q32" s="24"/>
      <c r="R32" s="24"/>
      <c r="S32" s="24"/>
      <c r="T32" s="24"/>
      <c r="U32" s="25" t="n">
        <f aca="false">IFERROR(SUM(M32:T32),"")</f>
        <v>0</v>
      </c>
    </row>
    <row r="33" customFormat="false" ht="21.75" hidden="false" customHeight="true" outlineLevel="0" collapsed="false">
      <c r="A33" s="36" t="s">
        <v>257</v>
      </c>
      <c r="B33" s="36" t="s">
        <v>134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24"/>
      <c r="N33" s="24"/>
      <c r="O33" s="24"/>
      <c r="P33" s="24"/>
      <c r="Q33" s="24"/>
      <c r="R33" s="24"/>
      <c r="S33" s="24"/>
      <c r="T33" s="24"/>
      <c r="U33" s="25" t="n">
        <f aca="false">IFERROR(SUM(M33:T33),"")</f>
        <v>0</v>
      </c>
    </row>
    <row r="34" customFormat="false" ht="21.75" hidden="false" customHeight="true" outlineLevel="0" collapsed="false">
      <c r="A34" s="36" t="s">
        <v>261</v>
      </c>
      <c r="B34" s="36" t="s">
        <v>134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24"/>
      <c r="N34" s="24"/>
      <c r="O34" s="24"/>
      <c r="P34" s="24"/>
      <c r="Q34" s="24"/>
      <c r="R34" s="24"/>
      <c r="S34" s="24"/>
      <c r="T34" s="24"/>
      <c r="U34" s="25" t="n">
        <f aca="false">IFERROR(SUM(M34:T34),"")</f>
        <v>0</v>
      </c>
    </row>
    <row r="35" customFormat="false" ht="21.75" hidden="false" customHeight="true" outlineLevel="0" collapsed="false">
      <c r="A35" s="38" t="s">
        <v>265</v>
      </c>
      <c r="B35" s="38" t="s">
        <v>155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24"/>
      <c r="N35" s="24"/>
      <c r="O35" s="24"/>
      <c r="P35" s="24"/>
      <c r="Q35" s="24"/>
      <c r="R35" s="24"/>
      <c r="S35" s="24"/>
      <c r="T35" s="24"/>
      <c r="U35" s="25" t="n">
        <f aca="false">IFERROR(SUM(M35:T35),"")</f>
        <v>0</v>
      </c>
    </row>
    <row r="36" customFormat="false" ht="21.75" hidden="false" customHeight="true" outlineLevel="0" collapsed="false">
      <c r="A36" s="36" t="s">
        <v>269</v>
      </c>
      <c r="B36" s="36" t="s">
        <v>134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24"/>
      <c r="N36" s="24"/>
      <c r="O36" s="24"/>
      <c r="P36" s="24"/>
      <c r="Q36" s="24"/>
      <c r="R36" s="24"/>
      <c r="S36" s="24"/>
      <c r="T36" s="24"/>
      <c r="U36" s="25" t="n">
        <f aca="false">IFERROR(SUM(M36:T36),"")</f>
        <v>0</v>
      </c>
    </row>
    <row r="37" customFormat="false" ht="21.75" hidden="false" customHeight="true" outlineLevel="0" collapsed="false">
      <c r="A37" s="38" t="s">
        <v>273</v>
      </c>
      <c r="B37" s="38" t="s">
        <v>155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24"/>
      <c r="N37" s="24"/>
      <c r="O37" s="24"/>
      <c r="P37" s="24"/>
      <c r="Q37" s="24"/>
      <c r="R37" s="24"/>
      <c r="S37" s="24"/>
      <c r="T37" s="24"/>
      <c r="U37" s="25" t="n">
        <f aca="false">IFERROR(SUM(M37:T37),"")</f>
        <v>0</v>
      </c>
    </row>
    <row r="38" customFormat="false" ht="21.75" hidden="false" customHeight="true" outlineLevel="0" collapsed="false">
      <c r="A38" s="38" t="s">
        <v>277</v>
      </c>
      <c r="B38" s="38" t="s">
        <v>155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24"/>
      <c r="N38" s="24"/>
      <c r="O38" s="24"/>
      <c r="P38" s="24"/>
      <c r="Q38" s="24"/>
      <c r="R38" s="24"/>
      <c r="S38" s="24"/>
      <c r="T38" s="24"/>
      <c r="U38" s="25" t="n">
        <f aca="false">IFERROR(SUM(M38:T38),"")</f>
        <v>0</v>
      </c>
    </row>
    <row r="39" customFormat="false" ht="21.75" hidden="false" customHeight="true" outlineLevel="0" collapsed="false">
      <c r="A39" s="38" t="s">
        <v>281</v>
      </c>
      <c r="B39" s="38" t="s">
        <v>155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24"/>
      <c r="N39" s="24"/>
      <c r="O39" s="24"/>
      <c r="P39" s="24"/>
      <c r="Q39" s="24"/>
      <c r="R39" s="24"/>
      <c r="S39" s="24"/>
      <c r="T39" s="24"/>
      <c r="U39" s="25" t="n">
        <f aca="false">IFERROR(SUM(M39:T39),"")</f>
        <v>0</v>
      </c>
    </row>
    <row r="40" customFormat="false" ht="21.75" hidden="false" customHeight="true" outlineLevel="0" collapsed="false">
      <c r="A40" s="38" t="s">
        <v>285</v>
      </c>
      <c r="B40" s="38" t="s">
        <v>155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24"/>
      <c r="N40" s="24"/>
      <c r="O40" s="24"/>
      <c r="P40" s="24"/>
      <c r="Q40" s="24"/>
      <c r="R40" s="24"/>
      <c r="S40" s="24"/>
      <c r="T40" s="24"/>
      <c r="U40" s="25" t="n">
        <f aca="false">IFERROR(SUM(M40:T40),"")</f>
        <v>0</v>
      </c>
    </row>
    <row r="41" customFormat="false" ht="21.75" hidden="false" customHeight="true" outlineLevel="0" collapsed="false">
      <c r="A41" s="38" t="s">
        <v>289</v>
      </c>
      <c r="B41" s="38" t="s">
        <v>155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24"/>
      <c r="N41" s="24"/>
      <c r="O41" s="24"/>
      <c r="P41" s="24"/>
      <c r="Q41" s="24"/>
      <c r="R41" s="24"/>
      <c r="S41" s="24"/>
      <c r="T41" s="24"/>
      <c r="U41" s="25" t="n">
        <f aca="false">IFERROR(SUM(M41:T41),"")</f>
        <v>0</v>
      </c>
    </row>
    <row r="42" customFormat="false" ht="21.75" hidden="false" customHeight="true" outlineLevel="0" collapsed="false">
      <c r="A42" s="38" t="s">
        <v>293</v>
      </c>
      <c r="B42" s="38" t="s">
        <v>155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24"/>
      <c r="N42" s="24"/>
      <c r="O42" s="24"/>
      <c r="P42" s="24"/>
      <c r="Q42" s="24"/>
      <c r="R42" s="24"/>
      <c r="S42" s="24"/>
      <c r="T42" s="24"/>
      <c r="U42" s="25" t="n">
        <f aca="false">IFERROR(SUM(M42:T42),"")</f>
        <v>0</v>
      </c>
    </row>
    <row r="43" customFormat="false" ht="21.75" hidden="false" customHeight="true" outlineLevel="0" collapsed="false">
      <c r="A43" s="38" t="s">
        <v>297</v>
      </c>
      <c r="B43" s="38" t="s">
        <v>155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24"/>
      <c r="N43" s="24"/>
      <c r="O43" s="24"/>
      <c r="P43" s="24"/>
      <c r="Q43" s="24"/>
      <c r="R43" s="24"/>
      <c r="S43" s="24"/>
      <c r="T43" s="24"/>
      <c r="U43" s="25" t="n">
        <f aca="false">IFERROR(SUM(M43:T43),"")</f>
        <v>0</v>
      </c>
    </row>
    <row r="44" customFormat="false" ht="21.75" hidden="false" customHeight="true" outlineLevel="0" collapsed="false">
      <c r="A44" s="38" t="s">
        <v>301</v>
      </c>
      <c r="B44" s="38" t="s">
        <v>155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24"/>
      <c r="N44" s="24"/>
      <c r="O44" s="24"/>
      <c r="P44" s="24"/>
      <c r="Q44" s="24"/>
      <c r="R44" s="24"/>
      <c r="S44" s="24"/>
      <c r="T44" s="24"/>
      <c r="U44" s="25" t="n">
        <f aca="false">IFERROR(SUM(M44:T44),"")</f>
        <v>0</v>
      </c>
    </row>
    <row r="45" customFormat="false" ht="21.75" hidden="false" customHeight="true" outlineLevel="0" collapsed="false">
      <c r="A45" s="42" t="s">
        <v>305</v>
      </c>
      <c r="B45" s="42" t="s">
        <v>308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24"/>
      <c r="N45" s="24"/>
      <c r="O45" s="24"/>
      <c r="P45" s="24"/>
      <c r="Q45" s="24"/>
      <c r="R45" s="24"/>
      <c r="S45" s="24"/>
      <c r="T45" s="24"/>
      <c r="U45" s="25" t="n">
        <f aca="false">IFERROR(SUM(M45:T45),"")</f>
        <v>0</v>
      </c>
    </row>
    <row r="46" customFormat="false" ht="21.75" hidden="false" customHeight="true" outlineLevel="0" collapsed="false">
      <c r="A46" s="42" t="s">
        <v>313</v>
      </c>
      <c r="B46" s="42" t="s">
        <v>308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24"/>
      <c r="N46" s="24"/>
      <c r="O46" s="24"/>
      <c r="P46" s="24"/>
      <c r="Q46" s="24"/>
      <c r="R46" s="24"/>
      <c r="S46" s="24"/>
      <c r="T46" s="24"/>
      <c r="U46" s="25" t="n">
        <f aca="false">IFERROR(SUM(M46:T46),"")</f>
        <v>0</v>
      </c>
    </row>
    <row r="47" customFormat="false" ht="21.75" hidden="false" customHeight="true" outlineLevel="0" collapsed="false">
      <c r="A47" s="42" t="s">
        <v>317</v>
      </c>
      <c r="B47" s="42" t="s">
        <v>308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24"/>
      <c r="N47" s="24"/>
      <c r="O47" s="24"/>
      <c r="P47" s="24"/>
      <c r="Q47" s="24"/>
      <c r="R47" s="24"/>
      <c r="S47" s="24"/>
      <c r="T47" s="24"/>
      <c r="U47" s="25" t="n">
        <f aca="false">IFERROR(SUM(M47:T47),"")</f>
        <v>0</v>
      </c>
    </row>
    <row r="48" customFormat="false" ht="21.75" hidden="false" customHeight="true" outlineLevel="0" collapsed="false">
      <c r="A48" s="42" t="s">
        <v>321</v>
      </c>
      <c r="B48" s="42" t="s">
        <v>308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24"/>
      <c r="N48" s="24"/>
      <c r="O48" s="24"/>
      <c r="P48" s="24"/>
      <c r="Q48" s="24"/>
      <c r="R48" s="24"/>
      <c r="S48" s="24"/>
      <c r="T48" s="24"/>
      <c r="U48" s="25" t="n">
        <f aca="false">IFERROR(SUM(M48:T48),"")</f>
        <v>0</v>
      </c>
    </row>
    <row r="49" customFormat="false" ht="21.75" hidden="false" customHeight="true" outlineLevel="0" collapsed="false">
      <c r="A49" s="44" t="s">
        <v>325</v>
      </c>
      <c r="B49" s="44" t="s">
        <v>329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24"/>
      <c r="N49" s="24"/>
      <c r="O49" s="24"/>
      <c r="P49" s="24"/>
      <c r="Q49" s="24"/>
      <c r="R49" s="24"/>
      <c r="S49" s="24"/>
      <c r="T49" s="24"/>
      <c r="U49" s="25" t="n">
        <f aca="false">IFERROR(SUM(M49:T49),"")</f>
        <v>0</v>
      </c>
    </row>
    <row r="50" customFormat="false" ht="21.75" hidden="false" customHeight="true" outlineLevel="0" collapsed="false">
      <c r="A50" s="44" t="s">
        <v>333</v>
      </c>
      <c r="B50" s="44" t="s">
        <v>329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24"/>
      <c r="N50" s="24"/>
      <c r="O50" s="24"/>
      <c r="P50" s="24"/>
      <c r="Q50" s="24"/>
      <c r="R50" s="24"/>
      <c r="S50" s="24"/>
      <c r="T50" s="24"/>
      <c r="U50" s="25" t="n">
        <f aca="false">IFERROR(SUM(M50:T50),"")</f>
        <v>0</v>
      </c>
    </row>
    <row r="51" customFormat="false" ht="21.75" hidden="false" customHeight="true" outlineLevel="0" collapsed="false">
      <c r="A51" s="44" t="s">
        <v>340</v>
      </c>
      <c r="B51" s="44" t="s">
        <v>329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24"/>
      <c r="N51" s="24"/>
      <c r="O51" s="24"/>
      <c r="P51" s="24"/>
      <c r="Q51" s="24"/>
      <c r="R51" s="24"/>
      <c r="S51" s="24"/>
      <c r="T51" s="24"/>
      <c r="U51" s="25" t="n">
        <f aca="false">IFERROR(SUM(M51:T51),"")</f>
        <v>0</v>
      </c>
    </row>
    <row r="52" customFormat="false" ht="21.75" hidden="false" customHeight="true" outlineLevel="0" collapsed="false">
      <c r="A52" s="44" t="s">
        <v>344</v>
      </c>
      <c r="B52" s="44" t="s">
        <v>329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24"/>
      <c r="N52" s="24"/>
      <c r="O52" s="24"/>
      <c r="P52" s="24"/>
      <c r="Q52" s="24"/>
      <c r="R52" s="24"/>
      <c r="S52" s="24"/>
      <c r="T52" s="24"/>
      <c r="U52" s="25" t="n">
        <f aca="false">IFERROR(SUM(M52:T52),"")</f>
        <v>0</v>
      </c>
    </row>
    <row r="53" customFormat="false" ht="21.75" hidden="false" customHeight="true" outlineLevel="0" collapsed="false">
      <c r="A53" s="44" t="s">
        <v>348</v>
      </c>
      <c r="B53" s="44" t="s">
        <v>329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24"/>
      <c r="N53" s="24"/>
      <c r="O53" s="24"/>
      <c r="P53" s="24"/>
      <c r="Q53" s="24"/>
      <c r="R53" s="24"/>
      <c r="S53" s="24"/>
      <c r="T53" s="24"/>
      <c r="U53" s="25" t="n">
        <f aca="false">IFERROR(SUM(M53:T53),"")</f>
        <v>0</v>
      </c>
    </row>
    <row r="54" customFormat="false" ht="21.75" hidden="false" customHeight="true" outlineLevel="0" collapsed="false">
      <c r="A54" s="44" t="s">
        <v>352</v>
      </c>
      <c r="B54" s="44" t="s">
        <v>329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24"/>
      <c r="N54" s="24"/>
      <c r="O54" s="24"/>
      <c r="P54" s="24"/>
      <c r="Q54" s="24"/>
      <c r="R54" s="24"/>
      <c r="S54" s="24"/>
      <c r="T54" s="24"/>
      <c r="U54" s="25" t="n">
        <f aca="false">IFERROR(SUM(M54:T54),"")</f>
        <v>0</v>
      </c>
    </row>
    <row r="55" customFormat="false" ht="21.75" hidden="false" customHeight="true" outlineLevel="0" collapsed="false">
      <c r="A55" s="44" t="s">
        <v>356</v>
      </c>
      <c r="B55" s="44" t="s">
        <v>329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24"/>
      <c r="N55" s="24"/>
      <c r="O55" s="24"/>
      <c r="P55" s="24"/>
      <c r="Q55" s="24"/>
      <c r="R55" s="24"/>
      <c r="S55" s="24"/>
      <c r="T55" s="24"/>
      <c r="U55" s="25" t="n">
        <f aca="false">IFERROR(SUM(M55:T55),"")</f>
        <v>0</v>
      </c>
    </row>
    <row r="56" customFormat="false" ht="21.75" hidden="false" customHeight="true" outlineLevel="0" collapsed="false">
      <c r="A56" s="44" t="s">
        <v>360</v>
      </c>
      <c r="B56" s="44" t="s">
        <v>329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24"/>
      <c r="N56" s="24"/>
      <c r="O56" s="24"/>
      <c r="P56" s="24"/>
      <c r="Q56" s="24"/>
      <c r="R56" s="24"/>
      <c r="S56" s="24"/>
      <c r="T56" s="24"/>
      <c r="U56" s="25" t="n">
        <f aca="false">IFERROR(SUM(M56:T56),"")</f>
        <v>0</v>
      </c>
    </row>
    <row r="57" customFormat="false" ht="21.75" hidden="false" customHeight="true" outlineLevel="0" collapsed="false">
      <c r="A57" s="44" t="s">
        <v>364</v>
      </c>
      <c r="B57" s="44" t="s">
        <v>329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24"/>
      <c r="N57" s="24"/>
      <c r="O57" s="24"/>
      <c r="P57" s="24"/>
      <c r="Q57" s="24"/>
      <c r="R57" s="24"/>
      <c r="S57" s="24"/>
      <c r="T57" s="24"/>
      <c r="U57" s="25" t="n">
        <f aca="false">IFERROR(SUM(M57:T57),"")</f>
        <v>0</v>
      </c>
    </row>
    <row r="58" customFormat="false" ht="21.75" hidden="false" customHeight="true" outlineLevel="0" collapsed="false">
      <c r="A58" s="44" t="s">
        <v>368</v>
      </c>
      <c r="B58" s="44" t="s">
        <v>329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24"/>
      <c r="N58" s="24"/>
      <c r="O58" s="24"/>
      <c r="P58" s="24"/>
      <c r="Q58" s="24"/>
      <c r="R58" s="24"/>
      <c r="S58" s="24"/>
      <c r="T58" s="24"/>
      <c r="U58" s="25" t="n">
        <f aca="false">IFERROR(SUM(M58:T58),"")</f>
        <v>0</v>
      </c>
    </row>
    <row r="59" customFormat="false" ht="21.75" hidden="false" customHeight="true" outlineLevel="0" collapsed="false">
      <c r="A59" s="44" t="s">
        <v>372</v>
      </c>
      <c r="B59" s="44" t="s">
        <v>329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24"/>
      <c r="N59" s="24"/>
      <c r="O59" s="24"/>
      <c r="P59" s="24"/>
      <c r="Q59" s="24"/>
      <c r="R59" s="24"/>
      <c r="S59" s="24"/>
      <c r="T59" s="24"/>
      <c r="U59" s="25" t="n">
        <f aca="false">IFERROR(SUM(M59:T59),"")</f>
        <v>0</v>
      </c>
    </row>
    <row r="60" customFormat="false" ht="21.75" hidden="false" customHeight="true" outlineLevel="0" collapsed="false">
      <c r="A60" s="44" t="s">
        <v>376</v>
      </c>
      <c r="B60" s="44" t="s">
        <v>329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24"/>
      <c r="N60" s="24"/>
      <c r="O60" s="24"/>
      <c r="P60" s="24"/>
      <c r="Q60" s="24"/>
      <c r="R60" s="24"/>
      <c r="S60" s="24"/>
      <c r="T60" s="24"/>
      <c r="U60" s="25" t="n">
        <f aca="false">IFERROR(SUM(M60:T60),"")</f>
        <v>0</v>
      </c>
    </row>
    <row r="61" customFormat="false" ht="21.75" hidden="false" customHeight="true" outlineLevel="0" collapsed="false">
      <c r="A61" s="44" t="s">
        <v>380</v>
      </c>
      <c r="B61" s="44" t="s">
        <v>329</v>
      </c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24"/>
      <c r="N61" s="24"/>
      <c r="O61" s="24"/>
      <c r="P61" s="24"/>
      <c r="Q61" s="24"/>
      <c r="R61" s="24"/>
      <c r="S61" s="24"/>
      <c r="T61" s="24"/>
      <c r="U61" s="25" t="n">
        <f aca="false">IFERROR(SUM(M61:T61),"")</f>
        <v>0</v>
      </c>
    </row>
    <row r="62" customFormat="false" ht="21.75" hidden="false" customHeight="true" outlineLevel="0" collapsed="false">
      <c r="A62" s="44" t="s">
        <v>384</v>
      </c>
      <c r="B62" s="44" t="s">
        <v>329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24"/>
      <c r="N62" s="24"/>
      <c r="O62" s="24"/>
      <c r="P62" s="24"/>
      <c r="Q62" s="24"/>
      <c r="R62" s="24"/>
      <c r="S62" s="24"/>
      <c r="T62" s="24"/>
      <c r="U62" s="25" t="n">
        <f aca="false">IFERROR(SUM(M62:T62),"")</f>
        <v>0</v>
      </c>
    </row>
    <row r="63" customFormat="false" ht="21.75" hidden="false" customHeight="true" outlineLevel="0" collapsed="false">
      <c r="A63" s="46" t="s">
        <v>388</v>
      </c>
      <c r="B63" s="46" t="s">
        <v>392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24"/>
      <c r="N63" s="24"/>
      <c r="O63" s="24"/>
      <c r="P63" s="24"/>
      <c r="Q63" s="24"/>
      <c r="R63" s="24"/>
      <c r="S63" s="24"/>
      <c r="T63" s="24"/>
      <c r="U63" s="25" t="n">
        <f aca="false">IFERROR(SUM(M63:T63),"")</f>
        <v>0</v>
      </c>
    </row>
    <row r="64" customFormat="false" ht="21.75" hidden="false" customHeight="true" outlineLevel="0" collapsed="false">
      <c r="A64" s="46" t="s">
        <v>396</v>
      </c>
      <c r="B64" s="46" t="s">
        <v>392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24"/>
      <c r="N64" s="24"/>
      <c r="O64" s="24"/>
      <c r="P64" s="24"/>
      <c r="Q64" s="24"/>
      <c r="R64" s="24"/>
      <c r="S64" s="24"/>
      <c r="T64" s="24"/>
      <c r="U64" s="25" t="n">
        <f aca="false">IFERROR(SUM(M64:T64),"")</f>
        <v>0</v>
      </c>
    </row>
    <row r="65" customFormat="false" ht="21.75" hidden="false" customHeight="true" outlineLevel="0" collapsed="false">
      <c r="A65" s="48" t="s">
        <v>400</v>
      </c>
      <c r="B65" s="48" t="s">
        <v>404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24"/>
      <c r="N65" s="24"/>
      <c r="O65" s="24"/>
      <c r="P65" s="24"/>
      <c r="Q65" s="24"/>
      <c r="R65" s="24"/>
      <c r="S65" s="24"/>
      <c r="T65" s="24"/>
      <c r="U65" s="25" t="n">
        <f aca="false">IFERROR(SUM(M65:T65),"")</f>
        <v>0</v>
      </c>
    </row>
    <row r="66" customFormat="false" ht="21.75" hidden="false" customHeight="true" outlineLevel="0" collapsed="false">
      <c r="A66" s="48" t="s">
        <v>408</v>
      </c>
      <c r="B66" s="48" t="s">
        <v>404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24"/>
      <c r="N66" s="24"/>
      <c r="O66" s="24"/>
      <c r="P66" s="24"/>
      <c r="Q66" s="24"/>
      <c r="R66" s="24"/>
      <c r="S66" s="24"/>
      <c r="T66" s="24"/>
      <c r="U66" s="25" t="n">
        <f aca="false">IFERROR(SUM(M66:T66),"")</f>
        <v>0</v>
      </c>
    </row>
    <row r="67" customFormat="false" ht="21.75" hidden="false" customHeight="true" outlineLevel="0" collapsed="false">
      <c r="A67" s="48" t="s">
        <v>412</v>
      </c>
      <c r="B67" s="48" t="s">
        <v>404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24"/>
      <c r="N67" s="24"/>
      <c r="O67" s="24"/>
      <c r="P67" s="24"/>
      <c r="Q67" s="24"/>
      <c r="R67" s="24"/>
      <c r="S67" s="24"/>
      <c r="T67" s="24"/>
      <c r="U67" s="25" t="n">
        <f aca="false">IFERROR(SUM(M67:T67),"")</f>
        <v>0</v>
      </c>
    </row>
    <row r="68" customFormat="false" ht="21.75" hidden="false" customHeight="true" outlineLevel="0" collapsed="false">
      <c r="A68" s="50" t="s">
        <v>416</v>
      </c>
      <c r="B68" s="50" t="s">
        <v>420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24"/>
      <c r="N68" s="24"/>
      <c r="O68" s="24"/>
      <c r="P68" s="24"/>
      <c r="Q68" s="24"/>
      <c r="R68" s="24"/>
      <c r="S68" s="24"/>
      <c r="T68" s="24"/>
      <c r="U68" s="25" t="n">
        <f aca="false">IFERROR(SUM(M68:T68),"")</f>
        <v>0</v>
      </c>
    </row>
    <row r="69" customFormat="false" ht="21.75" hidden="false" customHeight="true" outlineLevel="0" collapsed="false">
      <c r="A69" s="50" t="s">
        <v>424</v>
      </c>
      <c r="B69" s="50" t="s">
        <v>420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24"/>
      <c r="N69" s="24"/>
      <c r="O69" s="24"/>
      <c r="P69" s="24"/>
      <c r="Q69" s="24"/>
      <c r="R69" s="24"/>
      <c r="S69" s="24"/>
      <c r="T69" s="24"/>
      <c r="U69" s="25" t="n">
        <f aca="false">IFERROR(SUM(M69:T69),"")</f>
        <v>0</v>
      </c>
    </row>
    <row r="70" customFormat="false" ht="21.75" hidden="false" customHeight="true" outlineLevel="0" collapsed="false">
      <c r="A70" s="50" t="s">
        <v>428</v>
      </c>
      <c r="B70" s="50" t="s">
        <v>420</v>
      </c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24"/>
      <c r="N70" s="24"/>
      <c r="O70" s="24"/>
      <c r="P70" s="24"/>
      <c r="Q70" s="24"/>
      <c r="R70" s="24"/>
      <c r="S70" s="24"/>
      <c r="T70" s="24"/>
      <c r="U70" s="25" t="n">
        <f aca="false">IFERROR(SUM(M70:T70),"")</f>
        <v>0</v>
      </c>
    </row>
    <row r="71" customFormat="false" ht="21.75" hidden="false" customHeight="true" outlineLevel="0" collapsed="false">
      <c r="A71" s="50" t="s">
        <v>432</v>
      </c>
      <c r="B71" s="50" t="s">
        <v>420</v>
      </c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24"/>
      <c r="N71" s="24"/>
      <c r="O71" s="24"/>
      <c r="P71" s="24"/>
      <c r="Q71" s="24"/>
      <c r="R71" s="24"/>
      <c r="S71" s="24"/>
      <c r="T71" s="24"/>
      <c r="U71" s="25" t="n">
        <f aca="false">IFERROR(SUM(M71:T71),"")</f>
        <v>0</v>
      </c>
    </row>
    <row r="72" customFormat="false" ht="21.75" hidden="false" customHeight="true" outlineLevel="0" collapsed="false">
      <c r="A72" s="50" t="s">
        <v>436</v>
      </c>
      <c r="B72" s="50" t="s">
        <v>420</v>
      </c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24"/>
      <c r="N72" s="24"/>
      <c r="O72" s="24"/>
      <c r="P72" s="24"/>
      <c r="Q72" s="24"/>
      <c r="R72" s="24"/>
      <c r="S72" s="24"/>
      <c r="T72" s="24"/>
      <c r="U72" s="25" t="n">
        <f aca="false">IFERROR(SUM(M72:T72),"")</f>
        <v>0</v>
      </c>
    </row>
    <row r="73" customFormat="false" ht="21.75" hidden="false" customHeight="true" outlineLevel="0" collapsed="false">
      <c r="A73" s="52" t="s">
        <v>440</v>
      </c>
      <c r="B73" s="52" t="s">
        <v>444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24"/>
      <c r="N73" s="24"/>
      <c r="O73" s="24"/>
      <c r="P73" s="24"/>
      <c r="Q73" s="24"/>
      <c r="R73" s="24"/>
      <c r="S73" s="24"/>
      <c r="T73" s="24"/>
      <c r="U73" s="25" t="n">
        <f aca="false">IFERROR(SUM(M73:T73),"")</f>
        <v>0</v>
      </c>
    </row>
    <row r="74" customFormat="false" ht="21.75" hidden="false" customHeight="true" outlineLevel="0" collapsed="false">
      <c r="A74" s="52" t="s">
        <v>448</v>
      </c>
      <c r="B74" s="52" t="s">
        <v>444</v>
      </c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24"/>
      <c r="N74" s="24"/>
      <c r="O74" s="24"/>
      <c r="P74" s="24"/>
      <c r="Q74" s="24"/>
      <c r="R74" s="24"/>
      <c r="S74" s="24"/>
      <c r="T74" s="24"/>
      <c r="U74" s="25" t="n">
        <f aca="false">IFERROR(SUM(M74:T74),"")</f>
        <v>0</v>
      </c>
    </row>
    <row r="75" customFormat="false" ht="21.75" hidden="false" customHeight="true" outlineLevel="0" collapsed="false">
      <c r="A75" s="34" t="s">
        <v>452</v>
      </c>
      <c r="B75" s="34" t="s">
        <v>456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24"/>
      <c r="N75" s="24"/>
      <c r="O75" s="24"/>
      <c r="P75" s="24"/>
      <c r="Q75" s="24"/>
      <c r="R75" s="24"/>
      <c r="S75" s="24"/>
      <c r="T75" s="24"/>
      <c r="U75" s="25" t="n">
        <f aca="false">IFERROR(SUM(M75:T75),"")</f>
        <v>0</v>
      </c>
    </row>
    <row r="76" customFormat="false" ht="21.75" hidden="false" customHeight="true" outlineLevel="0" collapsed="false">
      <c r="A76" s="54" t="s">
        <v>460</v>
      </c>
      <c r="B76" s="54" t="s">
        <v>464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24"/>
      <c r="N76" s="24"/>
      <c r="O76" s="24"/>
      <c r="P76" s="24"/>
      <c r="Q76" s="24"/>
      <c r="R76" s="24"/>
      <c r="S76" s="24"/>
      <c r="T76" s="24"/>
      <c r="U76" s="25" t="n">
        <f aca="false">IFERROR(SUM(M76:T76),"")</f>
        <v>0</v>
      </c>
    </row>
    <row r="77" customFormat="false" ht="21.75" hidden="false" customHeight="true" outlineLevel="0" collapsed="false">
      <c r="A77" s="54" t="s">
        <v>468</v>
      </c>
      <c r="B77" s="54" t="s">
        <v>464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24"/>
      <c r="N77" s="24"/>
      <c r="O77" s="24"/>
      <c r="P77" s="24"/>
      <c r="Q77" s="24"/>
      <c r="R77" s="24"/>
      <c r="S77" s="24"/>
      <c r="T77" s="24"/>
      <c r="U77" s="25" t="n">
        <f aca="false">IFERROR(SUM(M77:T77),"")</f>
        <v>0</v>
      </c>
    </row>
    <row r="78" customFormat="false" ht="21.75" hidden="false" customHeight="true" outlineLevel="0" collapsed="false">
      <c r="A78" s="34" t="s">
        <v>472</v>
      </c>
      <c r="B78" s="34" t="s">
        <v>456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24"/>
      <c r="N78" s="24"/>
      <c r="O78" s="24"/>
      <c r="P78" s="24"/>
      <c r="Q78" s="24"/>
      <c r="R78" s="24"/>
      <c r="S78" s="24"/>
      <c r="T78" s="24"/>
      <c r="U78" s="25" t="n">
        <f aca="false">IFERROR(SUM(M78:T78),"")</f>
        <v>0</v>
      </c>
    </row>
    <row r="79" customFormat="false" ht="21.75" hidden="false" customHeight="true" outlineLevel="0" collapsed="false">
      <c r="A79" s="54" t="s">
        <v>476</v>
      </c>
      <c r="B79" s="54" t="s">
        <v>464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24"/>
      <c r="N79" s="24"/>
      <c r="O79" s="24"/>
      <c r="P79" s="24"/>
      <c r="Q79" s="24"/>
      <c r="R79" s="24"/>
      <c r="S79" s="24"/>
      <c r="T79" s="24"/>
      <c r="U79" s="25" t="n">
        <f aca="false">IFERROR(SUM(M79:T79),"")</f>
        <v>0</v>
      </c>
    </row>
    <row r="80" customFormat="false" ht="21.75" hidden="false" customHeight="true" outlineLevel="0" collapsed="false">
      <c r="A80" s="54" t="s">
        <v>480</v>
      </c>
      <c r="B80" s="54" t="s">
        <v>464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24"/>
      <c r="N80" s="24"/>
      <c r="O80" s="24"/>
      <c r="P80" s="24"/>
      <c r="Q80" s="24"/>
      <c r="R80" s="24"/>
      <c r="S80" s="24"/>
      <c r="T80" s="24"/>
      <c r="U80" s="25" t="n">
        <f aca="false">IFERROR(SUM(M80:T80),"")</f>
        <v>0</v>
      </c>
    </row>
    <row r="81" customFormat="false" ht="21.75" hidden="false" customHeight="true" outlineLevel="0" collapsed="false">
      <c r="A81" s="54" t="s">
        <v>484</v>
      </c>
      <c r="B81" s="54" t="s">
        <v>464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24"/>
      <c r="N81" s="24"/>
      <c r="O81" s="24"/>
      <c r="P81" s="24"/>
      <c r="Q81" s="24"/>
      <c r="R81" s="24"/>
      <c r="S81" s="24"/>
      <c r="T81" s="24"/>
      <c r="U81" s="25" t="n">
        <f aca="false">IFERROR(SUM(M81:T81),"")</f>
        <v>0</v>
      </c>
    </row>
    <row r="82" customFormat="false" ht="21.75" hidden="false" customHeight="true" outlineLevel="0" collapsed="false">
      <c r="A82" s="54" t="s">
        <v>488</v>
      </c>
      <c r="B82" s="54" t="s">
        <v>464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24"/>
      <c r="N82" s="24"/>
      <c r="O82" s="24"/>
      <c r="P82" s="24"/>
      <c r="Q82" s="24"/>
      <c r="R82" s="24"/>
      <c r="S82" s="24"/>
      <c r="T82" s="24"/>
      <c r="U82" s="25" t="n">
        <f aca="false">IFERROR(SUM(M82:T82),"")</f>
        <v>0</v>
      </c>
    </row>
    <row r="83" customFormat="false" ht="21.75" hidden="false" customHeight="true" outlineLevel="0" collapsed="false">
      <c r="A83" s="34" t="s">
        <v>492</v>
      </c>
      <c r="B83" s="34" t="s">
        <v>456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24"/>
      <c r="N83" s="24"/>
      <c r="O83" s="24"/>
      <c r="P83" s="24"/>
      <c r="Q83" s="24"/>
      <c r="R83" s="24"/>
      <c r="S83" s="24"/>
      <c r="T83" s="24"/>
      <c r="U83" s="25" t="n">
        <f aca="false">IFERROR(SUM(M83:T83),"")</f>
        <v>0</v>
      </c>
    </row>
    <row r="84" customFormat="false" ht="21.75" hidden="false" customHeight="true" outlineLevel="0" collapsed="false">
      <c r="A84" s="54" t="s">
        <v>496</v>
      </c>
      <c r="B84" s="54" t="s">
        <v>464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24"/>
      <c r="N84" s="24"/>
      <c r="O84" s="24"/>
      <c r="P84" s="24"/>
      <c r="Q84" s="24"/>
      <c r="R84" s="24"/>
      <c r="S84" s="24"/>
      <c r="T84" s="24"/>
      <c r="U84" s="25" t="n">
        <f aca="false">IFERROR(SUM(M84:T84),"")</f>
        <v>0</v>
      </c>
    </row>
    <row r="85" customFormat="false" ht="21.75" hidden="false" customHeight="true" outlineLevel="0" collapsed="false">
      <c r="A85" s="54" t="s">
        <v>500</v>
      </c>
      <c r="B85" s="54" t="s">
        <v>464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24"/>
      <c r="N85" s="24"/>
      <c r="O85" s="24"/>
      <c r="P85" s="24"/>
      <c r="Q85" s="24"/>
      <c r="R85" s="24"/>
      <c r="S85" s="24"/>
      <c r="T85" s="24"/>
      <c r="U85" s="25" t="n">
        <f aca="false">IFERROR(SUM(M85:T85),"")</f>
        <v>0</v>
      </c>
    </row>
    <row r="86" customFormat="false" ht="21.75" hidden="false" customHeight="true" outlineLevel="0" collapsed="false">
      <c r="A86" s="54" t="s">
        <v>504</v>
      </c>
      <c r="B86" s="54" t="s">
        <v>464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24"/>
      <c r="N86" s="24"/>
      <c r="O86" s="24"/>
      <c r="P86" s="24"/>
      <c r="Q86" s="24"/>
      <c r="R86" s="24"/>
      <c r="S86" s="24"/>
      <c r="T86" s="24"/>
      <c r="U86" s="25" t="n">
        <f aca="false">IFERROR(SUM(M86:T86),"")</f>
        <v>0</v>
      </c>
    </row>
    <row r="87" customFormat="false" ht="21.75" hidden="false" customHeight="true" outlineLevel="0" collapsed="false">
      <c r="A87" s="34" t="s">
        <v>508</v>
      </c>
      <c r="B87" s="34" t="s">
        <v>456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24"/>
      <c r="N87" s="24"/>
      <c r="O87" s="24"/>
      <c r="P87" s="24"/>
      <c r="Q87" s="24"/>
      <c r="R87" s="24"/>
      <c r="S87" s="24"/>
      <c r="T87" s="24"/>
      <c r="U87" s="25" t="n">
        <f aca="false">IFERROR(SUM(M87:T87),"")</f>
        <v>0</v>
      </c>
    </row>
    <row r="88" customFormat="false" ht="21.75" hidden="false" customHeight="true" outlineLevel="0" collapsed="false">
      <c r="A88" s="54" t="s">
        <v>512</v>
      </c>
      <c r="B88" s="54" t="s">
        <v>464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24"/>
      <c r="N88" s="24"/>
      <c r="O88" s="24"/>
      <c r="P88" s="24"/>
      <c r="Q88" s="24"/>
      <c r="R88" s="24"/>
      <c r="S88" s="24"/>
      <c r="T88" s="24"/>
      <c r="U88" s="25" t="n">
        <f aca="false">IFERROR(SUM(M88:T88),"")</f>
        <v>0</v>
      </c>
    </row>
    <row r="89" customFormat="false" ht="21.75" hidden="false" customHeight="true" outlineLevel="0" collapsed="false">
      <c r="A89" s="54" t="s">
        <v>516</v>
      </c>
      <c r="B89" s="54" t="s">
        <v>464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24"/>
      <c r="N89" s="24"/>
      <c r="O89" s="24"/>
      <c r="P89" s="24"/>
      <c r="Q89" s="24"/>
      <c r="R89" s="24"/>
      <c r="S89" s="24"/>
      <c r="T89" s="24"/>
      <c r="U89" s="25" t="n">
        <f aca="false">IFERROR(SUM(M89:T89),"")</f>
        <v>0</v>
      </c>
    </row>
    <row r="90" customFormat="false" ht="21.75" hidden="false" customHeight="true" outlineLevel="0" collapsed="false">
      <c r="A90" s="34" t="s">
        <v>520</v>
      </c>
      <c r="B90" s="34" t="s">
        <v>456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24"/>
      <c r="N90" s="24"/>
      <c r="O90" s="24"/>
      <c r="P90" s="24"/>
      <c r="Q90" s="24"/>
      <c r="R90" s="24"/>
      <c r="S90" s="24"/>
      <c r="T90" s="24"/>
      <c r="U90" s="25" t="n">
        <f aca="false">IFERROR(SUM(M90:T90),"")</f>
        <v>0</v>
      </c>
    </row>
    <row r="91" customFormat="false" ht="21.75" hidden="false" customHeight="true" outlineLevel="0" collapsed="false">
      <c r="A91" s="54" t="s">
        <v>524</v>
      </c>
      <c r="B91" s="54" t="s">
        <v>464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24"/>
      <c r="N91" s="24"/>
      <c r="O91" s="24"/>
      <c r="P91" s="24"/>
      <c r="Q91" s="24"/>
      <c r="R91" s="24"/>
      <c r="S91" s="24"/>
      <c r="T91" s="24"/>
      <c r="U91" s="25" t="n">
        <f aca="false">IFERROR(SUM(M91:T91),"")</f>
        <v>0</v>
      </c>
    </row>
    <row r="92" customFormat="false" ht="21.75" hidden="false" customHeight="true" outlineLevel="0" collapsed="false">
      <c r="A92" s="54" t="s">
        <v>528</v>
      </c>
      <c r="B92" s="54" t="s">
        <v>464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24"/>
      <c r="N92" s="24"/>
      <c r="O92" s="24"/>
      <c r="P92" s="24"/>
      <c r="Q92" s="24"/>
      <c r="R92" s="24"/>
      <c r="S92" s="24"/>
      <c r="T92" s="24"/>
      <c r="U92" s="25" t="n">
        <f aca="false">IFERROR(SUM(M92:T92),"")</f>
        <v>0</v>
      </c>
    </row>
    <row r="93" customFormat="false" ht="21.75" hidden="false" customHeight="true" outlineLevel="0" collapsed="false">
      <c r="A93" s="54" t="s">
        <v>532</v>
      </c>
      <c r="B93" s="54" t="s">
        <v>464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24"/>
      <c r="N93" s="24"/>
      <c r="O93" s="24"/>
      <c r="P93" s="24"/>
      <c r="Q93" s="24"/>
      <c r="R93" s="24"/>
      <c r="S93" s="24"/>
      <c r="T93" s="24"/>
      <c r="U93" s="25" t="n">
        <f aca="false">IFERROR(SUM(M93:T93),"")</f>
        <v>0</v>
      </c>
    </row>
    <row r="94" customFormat="false" ht="21.75" hidden="false" customHeight="true" outlineLevel="0" collapsed="false">
      <c r="A94" s="54" t="s">
        <v>536</v>
      </c>
      <c r="B94" s="54" t="s">
        <v>464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24"/>
      <c r="N94" s="24"/>
      <c r="O94" s="24"/>
      <c r="P94" s="24"/>
      <c r="Q94" s="24"/>
      <c r="R94" s="24"/>
      <c r="S94" s="24"/>
      <c r="T94" s="24"/>
      <c r="U94" s="25" t="n">
        <f aca="false">IFERROR(SUM(M94:T94),"")</f>
        <v>0</v>
      </c>
    </row>
    <row r="95" customFormat="false" ht="21.75" hidden="false" customHeight="true" outlineLevel="0" collapsed="false">
      <c r="A95" s="54" t="s">
        <v>540</v>
      </c>
      <c r="B95" s="54" t="s">
        <v>464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24"/>
      <c r="N95" s="24"/>
      <c r="O95" s="24"/>
      <c r="P95" s="24"/>
      <c r="Q95" s="24"/>
      <c r="R95" s="24"/>
      <c r="S95" s="24"/>
      <c r="T95" s="24"/>
      <c r="U95" s="25" t="n">
        <f aca="false">IFERROR(SUM(M95:T95),"")</f>
        <v>0</v>
      </c>
    </row>
    <row r="96" customFormat="false" ht="21.75" hidden="false" customHeight="true" outlineLevel="0" collapsed="false">
      <c r="A96" s="56" t="s">
        <v>544</v>
      </c>
      <c r="B96" s="56" t="s">
        <v>548</v>
      </c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24"/>
      <c r="N96" s="24"/>
      <c r="O96" s="24"/>
      <c r="P96" s="24"/>
      <c r="Q96" s="24"/>
      <c r="R96" s="24"/>
      <c r="S96" s="24"/>
      <c r="T96" s="24"/>
      <c r="U96" s="25" t="n">
        <f aca="false">IFERROR(SUM(M96:T96),"")</f>
        <v>0</v>
      </c>
    </row>
    <row r="97" customFormat="false" ht="21.75" hidden="false" customHeight="true" outlineLevel="0" collapsed="false">
      <c r="A97" s="56" t="s">
        <v>552</v>
      </c>
      <c r="B97" s="56" t="s">
        <v>548</v>
      </c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24"/>
      <c r="N97" s="24"/>
      <c r="O97" s="24"/>
      <c r="P97" s="24"/>
      <c r="Q97" s="24"/>
      <c r="R97" s="24"/>
      <c r="S97" s="24"/>
      <c r="T97" s="24"/>
      <c r="U97" s="25" t="n">
        <f aca="false">IFERROR(SUM(M97:T97),"")</f>
        <v>0</v>
      </c>
    </row>
    <row r="98" customFormat="false" ht="21.75" hidden="false" customHeight="true" outlineLevel="0" collapsed="false">
      <c r="A98" s="56" t="s">
        <v>556</v>
      </c>
      <c r="B98" s="56" t="s">
        <v>548</v>
      </c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24"/>
      <c r="N98" s="24"/>
      <c r="O98" s="24"/>
      <c r="P98" s="24"/>
      <c r="Q98" s="24"/>
      <c r="R98" s="24"/>
      <c r="S98" s="24"/>
      <c r="T98" s="24"/>
      <c r="U98" s="25" t="n">
        <f aca="false">IFERROR(SUM(M98:T98),"")</f>
        <v>0</v>
      </c>
    </row>
    <row r="99" customFormat="false" ht="21.75" hidden="false" customHeight="true" outlineLevel="0" collapsed="false">
      <c r="A99" s="56" t="s">
        <v>560</v>
      </c>
      <c r="B99" s="56" t="s">
        <v>548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24"/>
      <c r="N99" s="24"/>
      <c r="O99" s="24"/>
      <c r="P99" s="24"/>
      <c r="Q99" s="24"/>
      <c r="R99" s="24"/>
      <c r="S99" s="24"/>
      <c r="T99" s="24"/>
      <c r="U99" s="25" t="n">
        <f aca="false">IFERROR(SUM(M99:T99),"")</f>
        <v>0</v>
      </c>
    </row>
    <row r="100" customFormat="false" ht="21.75" hidden="false" customHeight="true" outlineLevel="0" collapsed="false">
      <c r="A100" s="54" t="s">
        <v>564</v>
      </c>
      <c r="B100" s="54" t="s">
        <v>464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24"/>
      <c r="N100" s="24"/>
      <c r="O100" s="24"/>
      <c r="P100" s="24"/>
      <c r="Q100" s="24"/>
      <c r="R100" s="24"/>
      <c r="S100" s="24"/>
      <c r="T100" s="24"/>
      <c r="U100" s="25" t="n">
        <f aca="false">IFERROR(SUM(M100:T100),"")</f>
        <v>0</v>
      </c>
    </row>
    <row r="101" customFormat="false" ht="21.75" hidden="false" customHeight="true" outlineLevel="0" collapsed="false">
      <c r="A101" s="56" t="s">
        <v>568</v>
      </c>
      <c r="B101" s="56" t="s">
        <v>548</v>
      </c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24"/>
      <c r="N101" s="24"/>
      <c r="O101" s="24"/>
      <c r="P101" s="24"/>
      <c r="Q101" s="24"/>
      <c r="R101" s="24"/>
      <c r="S101" s="24"/>
      <c r="T101" s="24"/>
      <c r="U101" s="25" t="n">
        <f aca="false">IFERROR(SUM(M101:T101),"")</f>
        <v>0</v>
      </c>
    </row>
    <row r="102" customFormat="false" ht="21.75" hidden="false" customHeight="true" outlineLevel="0" collapsed="false">
      <c r="A102" s="34" t="s">
        <v>572</v>
      </c>
      <c r="B102" s="34" t="s">
        <v>456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24"/>
      <c r="N102" s="24"/>
      <c r="O102" s="24"/>
      <c r="P102" s="24"/>
      <c r="Q102" s="24"/>
      <c r="R102" s="24"/>
      <c r="S102" s="24"/>
      <c r="T102" s="24"/>
      <c r="U102" s="25" t="n">
        <f aca="false">IFERROR(SUM(M102:T102),"")</f>
        <v>0</v>
      </c>
    </row>
    <row r="103" customFormat="false" ht="21.75" hidden="false" customHeight="true" outlineLevel="0" collapsed="false">
      <c r="A103" s="34" t="s">
        <v>576</v>
      </c>
      <c r="B103" s="34" t="s">
        <v>456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24"/>
      <c r="N103" s="24"/>
      <c r="O103" s="24"/>
      <c r="P103" s="24"/>
      <c r="Q103" s="24"/>
      <c r="R103" s="24"/>
      <c r="S103" s="24"/>
      <c r="T103" s="24"/>
      <c r="U103" s="25" t="n">
        <f aca="false">IFERROR(SUM(M103:T103),"")</f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4" min="3" style="1" width="2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4"/>
  </cols>
  <sheetData>
    <row r="1" customFormat="false" ht="25.5" hidden="false" customHeight="true" outlineLevel="0" collapsed="false">
      <c r="A1" s="31" t="s">
        <v>607</v>
      </c>
      <c r="B1" s="31"/>
      <c r="C1" s="31"/>
      <c r="D1" s="31"/>
      <c r="E1" s="31"/>
      <c r="F1" s="31"/>
      <c r="G1" s="31"/>
    </row>
    <row r="2" customFormat="false" ht="19.5" hidden="false" customHeight="true" outlineLevel="0" collapsed="false">
      <c r="A2" s="66" t="s">
        <v>608</v>
      </c>
      <c r="B2" s="66"/>
      <c r="C2" s="66"/>
      <c r="D2" s="66"/>
      <c r="E2" s="66"/>
      <c r="F2" s="66"/>
      <c r="G2" s="66"/>
    </row>
    <row r="3" customFormat="false" ht="25.5" hidden="false" customHeight="true" outlineLevel="0" collapsed="false">
      <c r="A3" s="32" t="s">
        <v>609</v>
      </c>
      <c r="B3" s="32" t="s">
        <v>610</v>
      </c>
      <c r="C3" s="32" t="s">
        <v>611</v>
      </c>
      <c r="D3" s="32" t="s">
        <v>612</v>
      </c>
      <c r="E3" s="32" t="s">
        <v>125</v>
      </c>
      <c r="F3" s="32" t="s">
        <v>613</v>
      </c>
      <c r="G3" s="32" t="s">
        <v>614</v>
      </c>
    </row>
    <row r="4" customFormat="false" ht="31.5" hidden="false" customHeight="true" outlineLevel="0" collapsed="false">
      <c r="A4" s="67" t="s">
        <v>615</v>
      </c>
      <c r="B4" s="67" t="s">
        <v>616</v>
      </c>
      <c r="C4" s="67" t="s">
        <v>617</v>
      </c>
      <c r="D4" s="67" t="s">
        <v>618</v>
      </c>
      <c r="E4" s="67" t="s">
        <v>619</v>
      </c>
      <c r="F4" s="67" t="s">
        <v>620</v>
      </c>
      <c r="G4" s="67" t="s">
        <v>621</v>
      </c>
    </row>
    <row r="5" customFormat="false" ht="31.5" hidden="false" customHeight="true" outlineLevel="0" collapsed="false">
      <c r="A5" s="67" t="s">
        <v>622</v>
      </c>
      <c r="B5" s="67" t="s">
        <v>623</v>
      </c>
      <c r="C5" s="67" t="s">
        <v>624</v>
      </c>
      <c r="D5" s="67" t="s">
        <v>625</v>
      </c>
      <c r="E5" s="67" t="s">
        <v>619</v>
      </c>
      <c r="F5" s="67" t="s">
        <v>626</v>
      </c>
      <c r="G5" s="67" t="s">
        <v>627</v>
      </c>
    </row>
    <row r="6" customFormat="false" ht="31.5" hidden="false" customHeight="true" outlineLevel="0" collapsed="false">
      <c r="A6" s="67" t="s">
        <v>628</v>
      </c>
      <c r="B6" s="67" t="s">
        <v>629</v>
      </c>
      <c r="C6" s="67" t="s">
        <v>630</v>
      </c>
      <c r="D6" s="67" t="s">
        <v>631</v>
      </c>
      <c r="E6" s="67" t="s">
        <v>619</v>
      </c>
      <c r="F6" s="67" t="s">
        <v>632</v>
      </c>
      <c r="G6" s="67" t="s">
        <v>633</v>
      </c>
    </row>
    <row r="7" customFormat="false" ht="31.5" hidden="false" customHeight="true" outlineLevel="0" collapsed="false">
      <c r="A7" s="67" t="s">
        <v>634</v>
      </c>
      <c r="B7" s="67" t="s">
        <v>635</v>
      </c>
      <c r="C7" s="67" t="s">
        <v>636</v>
      </c>
      <c r="D7" s="67" t="s">
        <v>637</v>
      </c>
      <c r="E7" s="67" t="s">
        <v>619</v>
      </c>
      <c r="F7" s="67" t="s">
        <v>638</v>
      </c>
      <c r="G7" s="67" t="s">
        <v>639</v>
      </c>
    </row>
    <row r="8" customFormat="false" ht="31.5" hidden="false" customHeight="true" outlineLevel="0" collapsed="false">
      <c r="A8" s="68" t="s">
        <v>42</v>
      </c>
      <c r="B8" s="68" t="s">
        <v>640</v>
      </c>
      <c r="C8" s="68" t="s">
        <v>641</v>
      </c>
      <c r="D8" s="68" t="s">
        <v>642</v>
      </c>
      <c r="E8" s="68" t="s">
        <v>643</v>
      </c>
      <c r="F8" s="68"/>
      <c r="G8" s="68" t="s">
        <v>644</v>
      </c>
    </row>
    <row r="9" customFormat="false" ht="15" hidden="false" customHeight="true" outlineLevel="0" collapsed="false">
      <c r="A9" s="69"/>
      <c r="B9" s="69"/>
      <c r="C9" s="69"/>
      <c r="D9" s="69"/>
      <c r="E9" s="69"/>
      <c r="F9" s="69"/>
      <c r="G9" s="69"/>
    </row>
    <row r="10" customFormat="false" ht="19.5" hidden="false" customHeight="true" outlineLevel="0" collapsed="false">
      <c r="A10" s="70" t="s">
        <v>645</v>
      </c>
      <c r="B10" s="70"/>
      <c r="C10" s="70"/>
      <c r="D10" s="70"/>
      <c r="E10" s="70"/>
      <c r="F10" s="70"/>
      <c r="G10" s="70"/>
    </row>
    <row r="11" customFormat="false" ht="24" hidden="false" customHeight="true" outlineLevel="0" collapsed="false">
      <c r="A11" s="32" t="s">
        <v>646</v>
      </c>
      <c r="B11" s="32"/>
      <c r="C11" s="32" t="s">
        <v>647</v>
      </c>
      <c r="D11" s="32"/>
      <c r="E11" s="32"/>
      <c r="F11" s="32"/>
      <c r="G11" s="32"/>
    </row>
    <row r="12" customFormat="false" ht="24" hidden="false" customHeight="true" outlineLevel="0" collapsed="false">
      <c r="A12" s="71" t="s">
        <v>648</v>
      </c>
      <c r="B12" s="72" t="s">
        <v>649</v>
      </c>
      <c r="C12" s="72"/>
      <c r="D12" s="72"/>
      <c r="E12" s="72"/>
      <c r="F12" s="72"/>
      <c r="G12" s="72"/>
    </row>
    <row r="13" customFormat="false" ht="24" hidden="false" customHeight="true" outlineLevel="0" collapsed="false">
      <c r="A13" s="73" t="s">
        <v>650</v>
      </c>
      <c r="B13" s="74" t="s">
        <v>651</v>
      </c>
      <c r="C13" s="74"/>
      <c r="D13" s="74"/>
      <c r="E13" s="74"/>
      <c r="F13" s="74"/>
      <c r="G13" s="74"/>
    </row>
    <row r="14" customFormat="false" ht="24" hidden="false" customHeight="true" outlineLevel="0" collapsed="false">
      <c r="A14" s="75" t="s">
        <v>652</v>
      </c>
      <c r="B14" s="76" t="s">
        <v>653</v>
      </c>
      <c r="C14" s="76"/>
      <c r="D14" s="76"/>
      <c r="E14" s="76"/>
      <c r="F14" s="76"/>
      <c r="G14" s="76"/>
    </row>
    <row r="15" customFormat="false" ht="24" hidden="false" customHeight="true" outlineLevel="0" collapsed="false">
      <c r="A15" s="77" t="s">
        <v>654</v>
      </c>
      <c r="B15" s="78" t="s">
        <v>655</v>
      </c>
      <c r="C15" s="78"/>
      <c r="D15" s="78"/>
      <c r="E15" s="78"/>
      <c r="F15" s="78"/>
      <c r="G15" s="78"/>
    </row>
    <row r="16" customFormat="false" ht="15" hidden="false" customHeight="true" outlineLevel="0" collapsed="false">
      <c r="A16" s="69"/>
      <c r="B16" s="69"/>
      <c r="C16" s="69"/>
      <c r="D16" s="69"/>
      <c r="E16" s="69"/>
      <c r="F16" s="69"/>
      <c r="G16" s="69"/>
    </row>
    <row r="18" customFormat="false" ht="19.5" hidden="false" customHeight="true" outlineLevel="0" collapsed="false">
      <c r="A18" s="66" t="s">
        <v>656</v>
      </c>
      <c r="B18" s="66"/>
      <c r="C18" s="66"/>
      <c r="D18" s="66"/>
      <c r="E18" s="66"/>
      <c r="F18" s="66"/>
      <c r="G18" s="66"/>
    </row>
    <row r="19" customFormat="false" ht="21.75" hidden="false" customHeight="true" outlineLevel="0" collapsed="false">
      <c r="A19" s="32" t="s">
        <v>657</v>
      </c>
      <c r="B19" s="32" t="s">
        <v>610</v>
      </c>
      <c r="C19" s="69"/>
      <c r="D19" s="69"/>
      <c r="E19" s="69"/>
      <c r="F19" s="69"/>
      <c r="G19" s="69"/>
    </row>
    <row r="20" customFormat="false" ht="19.5" hidden="false" customHeight="true" outlineLevel="0" collapsed="false">
      <c r="A20" s="79" t="s">
        <v>97</v>
      </c>
      <c r="B20" s="80" t="s">
        <v>658</v>
      </c>
      <c r="C20" s="80"/>
      <c r="D20" s="80"/>
      <c r="E20" s="80"/>
      <c r="F20" s="80"/>
      <c r="G20" s="80"/>
    </row>
    <row r="21" customFormat="false" ht="19.5" hidden="false" customHeight="true" outlineLevel="0" collapsed="false">
      <c r="A21" s="81" t="s">
        <v>588</v>
      </c>
      <c r="B21" s="82" t="s">
        <v>659</v>
      </c>
      <c r="C21" s="82"/>
      <c r="D21" s="82"/>
      <c r="E21" s="82"/>
      <c r="F21" s="82"/>
      <c r="G21" s="82"/>
    </row>
    <row r="22" customFormat="false" ht="19.5" hidden="false" customHeight="true" outlineLevel="0" collapsed="false">
      <c r="A22" s="79" t="s">
        <v>589</v>
      </c>
      <c r="B22" s="80" t="s">
        <v>660</v>
      </c>
      <c r="C22" s="80"/>
      <c r="D22" s="80"/>
      <c r="E22" s="80"/>
      <c r="F22" s="80"/>
      <c r="G22" s="80"/>
    </row>
    <row r="23" customFormat="false" ht="19.5" hidden="false" customHeight="true" outlineLevel="0" collapsed="false">
      <c r="A23" s="81" t="s">
        <v>661</v>
      </c>
      <c r="B23" s="82" t="s">
        <v>662</v>
      </c>
      <c r="C23" s="82"/>
      <c r="D23" s="82"/>
      <c r="E23" s="82"/>
      <c r="F23" s="82"/>
      <c r="G23" s="82"/>
    </row>
    <row r="24" customFormat="false" ht="19.5" hidden="false" customHeight="true" outlineLevel="0" collapsed="false">
      <c r="A24" s="79" t="s">
        <v>590</v>
      </c>
      <c r="B24" s="80" t="s">
        <v>663</v>
      </c>
      <c r="C24" s="80"/>
      <c r="D24" s="80"/>
      <c r="E24" s="80"/>
      <c r="F24" s="80"/>
      <c r="G24" s="80"/>
    </row>
    <row r="25" customFormat="false" ht="19.5" hidden="false" customHeight="true" outlineLevel="0" collapsed="false">
      <c r="A25" s="81" t="s">
        <v>591</v>
      </c>
      <c r="B25" s="82" t="s">
        <v>664</v>
      </c>
      <c r="C25" s="82"/>
      <c r="D25" s="82"/>
      <c r="E25" s="82"/>
      <c r="F25" s="82"/>
      <c r="G25" s="82"/>
    </row>
    <row r="26" customFormat="false" ht="19.5" hidden="false" customHeight="true" outlineLevel="0" collapsed="false">
      <c r="A26" s="79" t="s">
        <v>593</v>
      </c>
      <c r="B26" s="80" t="s">
        <v>665</v>
      </c>
      <c r="C26" s="80"/>
      <c r="D26" s="80"/>
      <c r="E26" s="80"/>
      <c r="F26" s="80"/>
      <c r="G26" s="80"/>
    </row>
    <row r="27" customFormat="false" ht="19.5" hidden="false" customHeight="true" outlineLevel="0" collapsed="false">
      <c r="A27" s="81" t="s">
        <v>592</v>
      </c>
      <c r="B27" s="82" t="s">
        <v>666</v>
      </c>
      <c r="C27" s="82"/>
      <c r="D27" s="82"/>
      <c r="E27" s="82"/>
      <c r="F27" s="82"/>
      <c r="G27" s="82"/>
    </row>
    <row r="29" customFormat="false" ht="21.75" hidden="false" customHeight="true" outlineLevel="0" collapsed="false">
      <c r="A29" s="83" t="s">
        <v>667</v>
      </c>
      <c r="B29" s="83"/>
      <c r="C29" s="83"/>
      <c r="D29" s="83"/>
      <c r="E29" s="83"/>
      <c r="F29" s="83"/>
      <c r="G29" s="83"/>
    </row>
    <row r="30" customFormat="false" ht="19.5" hidden="false" customHeight="true" outlineLevel="0" collapsed="false">
      <c r="A30" s="84" t="s">
        <v>122</v>
      </c>
      <c r="B30" s="84" t="s">
        <v>610</v>
      </c>
      <c r="C30" s="5" t="s">
        <v>668</v>
      </c>
      <c r="D30" s="5"/>
      <c r="E30" s="5"/>
      <c r="F30" s="5"/>
      <c r="G30" s="5"/>
    </row>
    <row r="31" customFormat="false" ht="21.75" hidden="false" customHeight="true" outlineLevel="0" collapsed="false">
      <c r="A31" s="85" t="s">
        <v>669</v>
      </c>
      <c r="B31" s="86" t="s">
        <v>670</v>
      </c>
      <c r="C31" s="86"/>
      <c r="D31" s="87" t="s">
        <v>671</v>
      </c>
      <c r="E31" s="87"/>
      <c r="F31" s="87"/>
      <c r="G31" s="87"/>
    </row>
    <row r="32" customFormat="false" ht="21.75" hidden="false" customHeight="true" outlineLevel="0" collapsed="false">
      <c r="A32" s="88" t="s">
        <v>672</v>
      </c>
      <c r="B32" s="89" t="s">
        <v>673</v>
      </c>
      <c r="C32" s="89"/>
      <c r="D32" s="90" t="s">
        <v>674</v>
      </c>
      <c r="E32" s="90"/>
      <c r="F32" s="90"/>
      <c r="G32" s="90"/>
    </row>
    <row r="33" customFormat="false" ht="21.75" hidden="false" customHeight="true" outlineLevel="0" collapsed="false">
      <c r="A33" s="85" t="s">
        <v>675</v>
      </c>
      <c r="B33" s="86" t="s">
        <v>676</v>
      </c>
      <c r="C33" s="86"/>
      <c r="D33" s="87" t="s">
        <v>677</v>
      </c>
      <c r="E33" s="87"/>
      <c r="F33" s="87"/>
      <c r="G33" s="87"/>
    </row>
    <row r="34" customFormat="false" ht="21.75" hidden="false" customHeight="true" outlineLevel="0" collapsed="false">
      <c r="A34" s="88" t="s">
        <v>678</v>
      </c>
      <c r="B34" s="89" t="s">
        <v>679</v>
      </c>
      <c r="C34" s="89"/>
      <c r="D34" s="90" t="s">
        <v>680</v>
      </c>
      <c r="E34" s="90"/>
      <c r="F34" s="90"/>
      <c r="G34" s="90"/>
    </row>
    <row r="35" customFormat="false" ht="21.75" hidden="false" customHeight="true" outlineLevel="0" collapsed="false">
      <c r="A35" s="85" t="s">
        <v>681</v>
      </c>
      <c r="B35" s="86" t="s">
        <v>682</v>
      </c>
      <c r="C35" s="86"/>
      <c r="D35" s="87" t="s">
        <v>683</v>
      </c>
      <c r="E35" s="87"/>
      <c r="F35" s="87"/>
      <c r="G35" s="87"/>
    </row>
    <row r="36" customFormat="false" ht="21.75" hidden="false" customHeight="true" outlineLevel="0" collapsed="false">
      <c r="A36" s="88" t="s">
        <v>684</v>
      </c>
      <c r="B36" s="89" t="s">
        <v>685</v>
      </c>
      <c r="C36" s="89"/>
      <c r="D36" s="90" t="s">
        <v>686</v>
      </c>
      <c r="E36" s="90"/>
      <c r="F36" s="90"/>
      <c r="G36" s="90"/>
    </row>
    <row r="37" customFormat="false" ht="21.75" hidden="false" customHeight="true" outlineLevel="0" collapsed="false">
      <c r="A37" s="85" t="s">
        <v>687</v>
      </c>
      <c r="B37" s="86" t="s">
        <v>688</v>
      </c>
      <c r="C37" s="86"/>
      <c r="D37" s="87" t="s">
        <v>689</v>
      </c>
      <c r="E37" s="87"/>
      <c r="F37" s="87"/>
      <c r="G37" s="87"/>
    </row>
    <row r="38" customFormat="false" ht="21.75" hidden="false" customHeight="true" outlineLevel="0" collapsed="false">
      <c r="A38" s="88" t="s">
        <v>690</v>
      </c>
      <c r="B38" s="89" t="s">
        <v>691</v>
      </c>
      <c r="C38" s="89"/>
      <c r="D38" s="90" t="s">
        <v>692</v>
      </c>
      <c r="E38" s="90"/>
      <c r="F38" s="90"/>
      <c r="G38" s="90"/>
    </row>
    <row r="39" customFormat="false" ht="21.75" hidden="false" customHeight="true" outlineLevel="0" collapsed="false">
      <c r="A39" s="85" t="s">
        <v>693</v>
      </c>
      <c r="B39" s="86" t="s">
        <v>694</v>
      </c>
      <c r="C39" s="86"/>
      <c r="D39" s="87" t="s">
        <v>695</v>
      </c>
      <c r="E39" s="87"/>
      <c r="F39" s="87"/>
      <c r="G39" s="87"/>
    </row>
  </sheetData>
  <mergeCells count="36">
    <mergeCell ref="A1:G1"/>
    <mergeCell ref="A2:G2"/>
    <mergeCell ref="A10:G10"/>
    <mergeCell ref="B12:G12"/>
    <mergeCell ref="B13:G13"/>
    <mergeCell ref="B14:G14"/>
    <mergeCell ref="B15:G15"/>
    <mergeCell ref="A18:G18"/>
    <mergeCell ref="B20:G20"/>
    <mergeCell ref="B21:G21"/>
    <mergeCell ref="B22:G22"/>
    <mergeCell ref="B23:G23"/>
    <mergeCell ref="B24:G24"/>
    <mergeCell ref="B25:G25"/>
    <mergeCell ref="B26:G26"/>
    <mergeCell ref="B27:G27"/>
    <mergeCell ref="A29:G29"/>
    <mergeCell ref="C30:G30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2026-03-11T21:18:38Z</dcterms:created>
  <dc:creator>openpyxl</dc:creator>
  <dc:description/>
  <dc:language>en-US</dc:language>
  <cp:lastModifiedBy/>
  <dcterms:modified xsi:type="dcterms:W3CDTF">2026-03-11T21:35:47Z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